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Test_UsedRange" sheetId="90" r:id="rId3"/>
  </sheets>
  <functionGroups/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C60" i="3"/>
  <c r="E60" s="1"/>
  <c r="C61"/>
  <c r="D60"/>
  <c r="D61"/>
  <c r="J85" i="4"/>
  <c r="J84"/>
  <c r="J83"/>
  <c r="J82"/>
  <c r="J81"/>
  <c r="J80"/>
  <c r="J79"/>
  <c r="J78"/>
  <c r="B78"/>
  <c r="J64"/>
  <c r="J65"/>
  <c r="J66"/>
  <c r="J67"/>
  <c r="J68"/>
  <c r="J69"/>
  <c r="J70"/>
  <c r="J71"/>
  <c r="J72"/>
  <c r="J73"/>
  <c r="J74"/>
  <c r="J75"/>
  <c r="J76"/>
  <c r="J63"/>
  <c r="B64"/>
  <c r="B63"/>
  <c r="J34"/>
  <c r="J61"/>
  <c r="J60"/>
  <c r="B60"/>
  <c r="C59" i="3"/>
  <c r="D59"/>
  <c r="J33" i="4"/>
  <c r="J53"/>
  <c r="J54"/>
  <c r="J55"/>
  <c r="J56"/>
  <c r="J57"/>
  <c r="J58"/>
  <c r="J52"/>
  <c r="J51"/>
  <c r="J49"/>
  <c r="J48"/>
  <c r="J47"/>
  <c r="J46"/>
  <c r="J44"/>
  <c r="J43"/>
  <c r="J42"/>
  <c r="J40"/>
  <c r="J39"/>
  <c r="J38"/>
  <c r="J37"/>
  <c r="J36"/>
  <c r="J24"/>
  <c r="J23"/>
  <c r="J22"/>
  <c r="J21"/>
  <c r="J10"/>
  <c r="J9"/>
  <c r="J8"/>
  <c r="J7"/>
  <c r="B53"/>
  <c r="B52"/>
  <c r="B51"/>
  <c r="B47"/>
  <c r="B46"/>
  <c r="C58" i="3"/>
  <c r="D58"/>
  <c r="C51"/>
  <c r="C52"/>
  <c r="C53"/>
  <c r="C54"/>
  <c r="C55"/>
  <c r="C56"/>
  <c r="C57"/>
  <c r="D51"/>
  <c r="E51" s="1"/>
  <c r="D52"/>
  <c r="D53"/>
  <c r="D54"/>
  <c r="E54" s="1"/>
  <c r="D55"/>
  <c r="D56"/>
  <c r="D57"/>
  <c r="E57" s="1"/>
  <c r="B42" i="4"/>
  <c r="B36"/>
  <c r="B8"/>
  <c r="B9"/>
  <c r="B10"/>
  <c r="B11"/>
  <c r="B12"/>
  <c r="B13"/>
  <c r="B14"/>
  <c r="B15"/>
  <c r="B16"/>
  <c r="B7"/>
  <c r="E61" i="3" l="1"/>
  <c r="I3" i="4" a="1"/>
  <c r="I3" s="1"/>
  <c r="E59" i="3"/>
  <c r="E52"/>
  <c r="E53"/>
  <c r="E55"/>
  <c r="E56"/>
  <c r="E58"/>
  <c r="D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C2"/>
  <c r="E2" s="1"/>
  <c r="C3"/>
  <c r="E3" s="1"/>
  <c r="C4"/>
  <c r="C5"/>
  <c r="E5" s="1"/>
  <c r="C6"/>
  <c r="E6" s="1"/>
  <c r="C7"/>
  <c r="C8"/>
  <c r="E8" s="1"/>
  <c r="C9"/>
  <c r="E9" s="1"/>
  <c r="C10"/>
  <c r="C11"/>
  <c r="E11" s="1"/>
  <c r="C12"/>
  <c r="E12" s="1"/>
  <c r="C13"/>
  <c r="C14"/>
  <c r="E14" s="1"/>
  <c r="C15"/>
  <c r="E15" s="1"/>
  <c r="C16"/>
  <c r="C17"/>
  <c r="E17" s="1"/>
  <c r="C18"/>
  <c r="E18" s="1"/>
  <c r="C19"/>
  <c r="C20"/>
  <c r="E20" s="1"/>
  <c r="C21"/>
  <c r="E21" s="1"/>
  <c r="C22"/>
  <c r="C23"/>
  <c r="E23" s="1"/>
  <c r="C24"/>
  <c r="E24" s="1"/>
  <c r="C25"/>
  <c r="C26"/>
  <c r="E26" s="1"/>
  <c r="C27"/>
  <c r="E27" s="1"/>
  <c r="C28"/>
  <c r="C29"/>
  <c r="E29" s="1"/>
  <c r="C30"/>
  <c r="E30" s="1"/>
  <c r="C31"/>
  <c r="C32"/>
  <c r="E32" s="1"/>
  <c r="C33"/>
  <c r="E33" s="1"/>
  <c r="C34"/>
  <c r="C35"/>
  <c r="E35" s="1"/>
  <c r="C36"/>
  <c r="E36" s="1"/>
  <c r="C37"/>
  <c r="C38"/>
  <c r="E38" s="1"/>
  <c r="C39"/>
  <c r="E39" s="1"/>
  <c r="C40"/>
  <c r="C41"/>
  <c r="E41" s="1"/>
  <c r="C42"/>
  <c r="E42" s="1"/>
  <c r="C43"/>
  <c r="C44"/>
  <c r="E44" s="1"/>
  <c r="C45"/>
  <c r="E45" s="1"/>
  <c r="C46"/>
  <c r="C47"/>
  <c r="E47" s="1"/>
  <c r="C48"/>
  <c r="E48" s="1"/>
  <c r="C49"/>
  <c r="C50"/>
  <c r="E50" s="1"/>
  <c r="O30" i="4" a="1"/>
  <c r="M25" a="1"/>
  <c r="Q18" a="1"/>
  <c r="O13" a="1"/>
  <c r="P30" l="1"/>
  <c r="S30"/>
  <c r="O30"/>
  <c r="R30"/>
  <c r="Q30"/>
  <c r="T30"/>
  <c r="M26"/>
  <c r="M29"/>
  <c r="M25"/>
  <c r="M28"/>
  <c r="M27"/>
  <c r="M30"/>
  <c r="R18"/>
  <c r="U18"/>
  <c r="T18"/>
  <c r="S18"/>
  <c r="V18"/>
  <c r="Q18"/>
  <c r="O14"/>
  <c r="O17"/>
  <c r="O13"/>
  <c r="O16"/>
  <c r="O15"/>
  <c r="O18"/>
  <c r="E49" i="3"/>
  <c r="E46"/>
  <c r="E43"/>
  <c r="E40"/>
  <c r="E37"/>
  <c r="E34"/>
  <c r="E31"/>
  <c r="E28"/>
  <c r="E25"/>
  <c r="E22"/>
  <c r="E19"/>
  <c r="E16"/>
  <c r="E13"/>
  <c r="E10"/>
  <c r="E7"/>
  <c r="E4"/>
  <c r="H2" l="1"/>
  <c r="H3"/>
  <c r="K3" i="4" l="1"/>
  <c r="K2"/>
  <c r="I2" l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<sst xmlns="http://schemas.openxmlformats.org/spreadsheetml/2006/main" count="433" uniqueCount="230">
  <si>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</si>
  <si>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</si>
  <si>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</si>
  <si>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</si>
  <si>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</si>
  <si>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</si>
  <si>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</si>
  <si>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</si>
  <si>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</si>
  <si>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</si>
  <si>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</si>
  <si>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</si>
  <si>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</si>
  <si>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</si>
  <si>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</si>
  <si>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</si>
  <si>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</si>
  <si>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</si>
  <si>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</si>
  <si>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</si>
  <si>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</si>
  <si>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</si>
  <si>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</si>
  <si>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</si>
  <si>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</si>
  <si>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</si>
  <si>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</si>
  <si>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</si>
  <si>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</si>
  <si>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</si>
  <si>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</si>
  <si>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</si>
  <si>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</si>
  <si>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</si>
  <si>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</si>
  <si>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</si>
  <si>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</si>
  <si>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</si>
  <si>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</si>
  <si>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</si>
  <si>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</si>
  <si>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</si>
  <si>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</si>
  <si>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</si>
  <si>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</si>
  <si>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</si>
  <si>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</si>
  <si>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</si>
  <si>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</si>
  <si>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</si>
  <si>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</si>
  <si>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</si>
  <si>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</si>
  <si>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</si>
  <si>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</si>
  <si>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</si>
  <si>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</si>
  <si>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</si>
  <si>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</si>
  <si>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</si>
  <si>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</si>
  <si>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</si>
  <si>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</si>
  <si>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</si>
  <si>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</si>
  <si>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</si>
  <si>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</si>
  <si>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</si>
  <si>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</si>
  <si>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</si>
  <si>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</si>
  <si>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</si>
  <si>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</si>
  <si>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</si>
  <si>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</si>
  <si>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</si>
  <si>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</si>
  <si>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</si>
  <si>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</si>
  <si>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</si>
  <si>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</si>
  <si>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</si>
  <si>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</si>
  <si>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</si>
  <si>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</si>
  <si>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</si>
  <si>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</si>
  <si>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</si>
  <si>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</si>
  <si>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</si>
  <si>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</si>
  <si>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</si>
  <si>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</si>
  <si>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</si>
  <si>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</si>
  <si>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</si>
  <si>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</si>
  <si>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</si>
  <si>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</si>
  <si>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</si>
  <si>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</si>
  <si>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</si>
  <si>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</si>
  <si>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</si>
  <si>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</si>
  <si>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</si>
  <si>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</si>
  <si>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</si>
  <si>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</si>
  <si>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</si>
  <si>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</si>
  <si>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</si>
  <si>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</si>
  <si>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ArrayRank(RangeToArray($M$4:$M$12))</t>
  </si>
  <si>
    <t>= ArrayRank(RangeToArray($O$7:$P$12))</t>
  </si>
  <si>
    <t>= ArrayRank(RangeToArray($M$16:$U$16))</t>
  </si>
  <si>
    <t>= ArrayRank(RangeToArray($O$24:$T$25))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</si>
  <si>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</si>
  <si>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</si>
  <si>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</si>
  <si>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</si>
  <si>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</si>
  <si>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</si>
  <si>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</si>
  <si>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</si>
  <si>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</si>
  <si>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StringJoin(RangeToArray($Q$18:$V$18), ",")</t>
  </si>
  <si>
    <t>= StringJoin(GetUniqueItems(RangeToArray($M$10:$M$18)), ",")</t>
  </si>
  <si>
    <t>= ArrayLen(GetUniqueItems(RangeToArray($M$10:$M$18)))</t>
  </si>
  <si>
    <t>= StringJoin(RangeToArray($M$25:$M$30), ",")</t>
  </si>
  <si>
    <t>= StringJoin(RangeToArray($O$30:$T$30), ",")</t>
  </si>
  <si>
    <t>= StringJoin(GetUniqueItems(RangeToArray($M$22:$U$22)), ",")</t>
  </si>
  <si>
    <t>= ArrayLen(GetUniqueItems(RangeToArray($M$22:$U$22)))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</si>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</sst>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blCoverage" displayName="TblCoverage" ref="A1:E61" totalsRowShown="0" headerRowDxfId="3">
  <autoFilter ref="A1:E61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FF00"/>
  </sheetPr>
  <dimension ref="A1:AA85"/>
  <sheetViews>
    <sheetView tabSelected="1" zoomScale="85" zoomScaleNormal="85" workbookViewId="0">
      <pane ySplit="5" topLeftCell="A6" activePane="bottomLeft" state="frozen"/>
      <selection activeCell="A6" sqref="A6"/>
      <selection pane="bottomLeft" activeCell="A6" sqref="A6"/>
    </sheetView>
  </sheetViews>
  <sheetFormatPr defaultRowHeight="15"/>
  <cols>
    <col min="1" max="1" width="19.5703125" bestFit="1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6" width="3.28515625" customWidth="1"/>
  </cols>
  <sheetData>
    <row r="1" spans="1:27" ht="15.75" thickBot="1">
      <c r="A1" s="1"/>
      <c r="B1" s="1"/>
    </row>
    <row r="2" spans="1:27">
      <c r="A2" s="1"/>
      <c r="B2" s="1"/>
      <c r="H2" s="36" t="s">
        <v>77</v>
      </c>
      <c r="I2" s="44">
        <f xml:space="preserve"> NumTestsPassing + NumTestsFailing</f>
        <v>54</v>
      </c>
      <c r="J2" s="46" t="s">
        <v>58</v>
      </c>
      <c r="K2" s="37">
        <f xml:space="preserve"> COUNTIF(TestChecks, "PASS")</f>
        <v>54</v>
      </c>
    </row>
    <row r="3" spans="1:27" ht="15.75" thickBot="1">
      <c r="A3" s="1"/>
      <c r="B3" s="1"/>
      <c r="H3" s="38" t="s">
        <v>78</v>
      </c>
      <c r="I3" s="45">
        <f t="array" ref="I3" xml:space="preserve"> MAX(IF(ISBLANK(TestSpecs), 0, ROW(TestSpecs)))</f>
        <v>85</v>
      </c>
      <c r="J3" s="47" t="s">
        <v>59</v>
      </c>
      <c r="K3" s="39">
        <f xml:space="preserve"> COUNTIF(TestChecks, "FAIL")</f>
        <v>0</v>
      </c>
    </row>
    <row r="4" spans="1:27">
      <c r="D4" s="1"/>
      <c r="K4" s="1"/>
    </row>
    <row r="5" spans="1:27">
      <c r="A5" s="1" t="s">
        <v>1</v>
      </c>
      <c r="B5" s="1" t="s">
        <v>84</v>
      </c>
      <c r="C5" s="1" t="s">
        <v>120</v>
      </c>
      <c r="E5" s="1" t="s">
        <v>56</v>
      </c>
      <c r="F5" s="1" t="s">
        <v>119</v>
      </c>
      <c r="G5" s="1" t="s">
        <v>5</v>
      </c>
      <c r="H5" s="1" t="s">
        <v>60</v>
      </c>
      <c r="I5" s="1" t="s">
        <v>6</v>
      </c>
      <c r="J5" s="34" t="s">
        <v>118</v>
      </c>
      <c r="L5" s="48" t="s">
        <v>139</v>
      </c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16"/>
    </row>
    <row r="6" spans="1:27">
      <c r="A6" s="1"/>
      <c r="B6" s="1"/>
      <c r="C6" s="1"/>
      <c r="E6" s="1"/>
      <c r="F6" s="1"/>
      <c r="G6" s="1"/>
      <c r="H6" s="1"/>
      <c r="I6" s="1"/>
      <c r="J6" s="34"/>
      <c r="K6" s="16"/>
      <c r="AA6" s="16"/>
    </row>
    <row r="7" spans="1:27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6"/>
      <c r="E7" t="s">
        <v>66</v>
      </c>
      <c r="F7" t="s">
        <v>61</v>
      </c>
      <c r="G7" s="42" t="s">
        <v>125</v>
      </c>
      <c r="H7" t="s">
        <v>57</v>
      </c>
      <c r="I7" t="s">
        <v>57</v>
      </c>
      <c r="J7" s="2" t="str">
        <f xml:space="preserve"> IF(H7 = I7, "PASS", "FAIL")</f>
        <v>PASS</v>
      </c>
      <c r="K7" s="16"/>
      <c r="AA7" s="16"/>
    </row>
    <row r="8" spans="1:27">
      <c r="A8" t="s">
        <v>49</v>
      </c>
      <c r="B8" t="b">
        <f xml:space="preserve"> NOT(ISNA(MATCH(A8, TblCoverage[Function], 0)))</f>
        <v>1</v>
      </c>
      <c r="C8" t="s">
        <v>52</v>
      </c>
      <c r="D8" s="16"/>
      <c r="E8" t="s">
        <v>66</v>
      </c>
      <c r="F8" s="16" t="s">
        <v>62</v>
      </c>
      <c r="G8" s="43" t="s">
        <v>126</v>
      </c>
      <c r="H8" s="16" t="s">
        <v>57</v>
      </c>
      <c r="I8" t="s">
        <v>57</v>
      </c>
      <c r="J8" s="2" t="str">
        <f t="shared" ref="J8:J10" si="0" xml:space="preserve"> IF(H8 = I8, "PASS", "FAIL")</f>
        <v>PASS</v>
      </c>
      <c r="K8" s="16"/>
      <c r="L8" s="12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4"/>
      <c r="AA8" s="16"/>
    </row>
    <row r="9" spans="1:27">
      <c r="A9" t="s">
        <v>51</v>
      </c>
      <c r="B9" t="b">
        <f xml:space="preserve"> NOT(ISNA(MATCH(A9, TblCoverage[Function], 0)))</f>
        <v>1</v>
      </c>
      <c r="C9" t="s">
        <v>52</v>
      </c>
      <c r="D9" s="16"/>
      <c r="E9" t="s">
        <v>66</v>
      </c>
      <c r="F9" s="35" t="s">
        <v>64</v>
      </c>
      <c r="G9" s="43" t="s">
        <v>127</v>
      </c>
      <c r="H9" s="16" t="s">
        <v>57</v>
      </c>
      <c r="I9" t="s">
        <v>57</v>
      </c>
      <c r="J9" s="2" t="str">
        <f t="shared" si="0"/>
        <v>PASS</v>
      </c>
      <c r="K9" s="16"/>
      <c r="L9" s="15"/>
      <c r="M9" s="28" t="s">
        <v>121</v>
      </c>
      <c r="N9" s="29"/>
      <c r="O9" s="29"/>
      <c r="P9" s="29"/>
      <c r="Q9" s="30"/>
      <c r="R9" s="16"/>
      <c r="S9" s="16"/>
      <c r="T9" s="16"/>
      <c r="U9" s="16"/>
      <c r="V9" s="16"/>
      <c r="W9" s="16"/>
      <c r="X9" s="16"/>
      <c r="Y9" s="16"/>
      <c r="Z9" s="17"/>
      <c r="AA9" s="16"/>
    </row>
    <row r="10" spans="1:27">
      <c r="A10" t="s">
        <v>4</v>
      </c>
      <c r="B10" t="b">
        <f xml:space="preserve"> NOT(ISNA(MATCH(A10, TblCoverage[Function], 0)))</f>
        <v>1</v>
      </c>
      <c r="C10" t="s">
        <v>52</v>
      </c>
      <c r="D10" s="16"/>
      <c r="E10" t="s">
        <v>66</v>
      </c>
      <c r="F10" s="35" t="s">
        <v>65</v>
      </c>
      <c r="G10" s="43" t="s">
        <v>128</v>
      </c>
      <c r="H10" s="16">
        <v>6</v>
      </c>
      <c r="I10" s="16">
        <v>6</v>
      </c>
      <c r="J10" s="2" t="str">
        <f t="shared" si="0"/>
        <v>PASS</v>
      </c>
      <c r="K10" s="16"/>
      <c r="L10" s="15"/>
      <c r="M10" s="31">
        <v>1</v>
      </c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7"/>
      <c r="AA10" s="16"/>
    </row>
    <row r="11" spans="1:27">
      <c r="A11" t="s">
        <v>3</v>
      </c>
      <c r="B11" t="b">
        <f xml:space="preserve"> NOT(ISNA(MATCH(A11, TblCoverage[Function], 0)))</f>
        <v>1</v>
      </c>
      <c r="C11" t="s">
        <v>55</v>
      </c>
      <c r="D11" s="16"/>
      <c r="F11" s="35"/>
      <c r="G11" s="16"/>
      <c r="H11" s="16"/>
      <c r="I11" s="35"/>
      <c r="K11" s="16"/>
      <c r="L11" s="15"/>
      <c r="M11" s="32">
        <v>2</v>
      </c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7"/>
      <c r="AA11" s="16"/>
    </row>
    <row r="12" spans="1:27">
      <c r="A12" t="s">
        <v>48</v>
      </c>
      <c r="B12" t="b">
        <f xml:space="preserve"> NOT(ISNA(MATCH(A12, TblCoverage[Function], 0)))</f>
        <v>1</v>
      </c>
      <c r="C12" t="s">
        <v>55</v>
      </c>
      <c r="D12" s="16"/>
      <c r="F12" s="35"/>
      <c r="G12" s="16"/>
      <c r="H12" s="16"/>
      <c r="I12" s="35"/>
      <c r="K12" s="16"/>
      <c r="L12" s="15"/>
      <c r="M12" s="32">
        <v>2</v>
      </c>
      <c r="N12" s="16"/>
      <c r="O12" s="3" t="s">
        <v>123</v>
      </c>
      <c r="P12" s="4"/>
      <c r="Q12" s="4"/>
      <c r="R12" s="4"/>
      <c r="S12" s="4"/>
      <c r="T12" s="4"/>
      <c r="U12" s="4"/>
      <c r="V12" s="5"/>
      <c r="W12" s="16"/>
      <c r="X12" s="16"/>
      <c r="Y12" s="16"/>
      <c r="Z12" s="17"/>
      <c r="AA12" s="16"/>
    </row>
    <row r="13" spans="1:27">
      <c r="A13" t="s">
        <v>47</v>
      </c>
      <c r="B13" t="b">
        <f xml:space="preserve"> NOT(ISNA(MATCH(A13, TblCoverage[Function], 0)))</f>
        <v>1</v>
      </c>
      <c r="C13" t="s">
        <v>55</v>
      </c>
      <c r="D13" s="16"/>
      <c r="F13" s="35"/>
      <c r="G13" s="16"/>
      <c r="H13" s="16"/>
      <c r="I13" s="35"/>
      <c r="K13" s="16"/>
      <c r="L13" s="15"/>
      <c r="M13" s="32" t="s">
        <v>44</v>
      </c>
      <c r="N13" s="16"/>
      <c r="O13" s="6">
        <f t="array" ref="O13:O18" xml:space="preserve"> GetArrayForFormula(GetUniqueItems(RangeToArray($M$10:$M$18)))</f>
        <v>1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7"/>
      <c r="AA13" s="16"/>
    </row>
    <row r="14" spans="1:27">
      <c r="A14" t="s">
        <v>53</v>
      </c>
      <c r="B14" t="b">
        <f xml:space="preserve"> NOT(ISNA(MATCH(A14, TblCoverage[Function], 0)))</f>
        <v>1</v>
      </c>
      <c r="C14" t="s">
        <v>55</v>
      </c>
      <c r="D14" s="16"/>
      <c r="F14" s="35"/>
      <c r="G14" s="16"/>
      <c r="H14" s="16"/>
      <c r="I14" s="35"/>
      <c r="K14" s="16"/>
      <c r="L14" s="15"/>
      <c r="M14" s="32" t="s">
        <v>45</v>
      </c>
      <c r="N14" s="16"/>
      <c r="O14" s="7">
        <v>2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7"/>
      <c r="AA14" s="16"/>
    </row>
    <row r="15" spans="1:27">
      <c r="A15" t="s">
        <v>94</v>
      </c>
      <c r="B15" t="b">
        <f xml:space="preserve"> NOT(ISNA(MATCH(A15, TblCoverage[Function], 0)))</f>
        <v>1</v>
      </c>
      <c r="C15" t="s">
        <v>55</v>
      </c>
      <c r="D15" s="16"/>
      <c r="F15" s="35"/>
      <c r="G15" s="16"/>
      <c r="H15" s="16"/>
      <c r="I15" s="35"/>
      <c r="K15" s="16"/>
      <c r="L15" s="15"/>
      <c r="M15" s="32" t="s">
        <v>44</v>
      </c>
      <c r="N15" s="16"/>
      <c r="O15" s="7">
        <v>3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7"/>
      <c r="AA15" s="16"/>
    </row>
    <row r="16" spans="1:27">
      <c r="A16" t="s">
        <v>63</v>
      </c>
      <c r="B16" t="b">
        <f xml:space="preserve"> NOT(ISNA(MATCH(A16, TblCoverage[Function], 0)))</f>
        <v>1</v>
      </c>
      <c r="C16" t="s">
        <v>52</v>
      </c>
      <c r="D16" s="16"/>
      <c r="F16" s="35"/>
      <c r="G16" s="16"/>
      <c r="H16" s="16"/>
      <c r="I16" s="35"/>
      <c r="K16" s="16"/>
      <c r="L16" s="15"/>
      <c r="M16" s="32" t="s">
        <v>46</v>
      </c>
      <c r="N16" s="16"/>
      <c r="O16" s="7" t="str">
        <v>a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7"/>
      <c r="AA16" s="16"/>
    </row>
    <row r="17" spans="4:27">
      <c r="D17" s="16"/>
      <c r="F17" s="35"/>
      <c r="G17" s="16"/>
      <c r="H17" s="16"/>
      <c r="I17" s="35"/>
      <c r="K17" s="16"/>
      <c r="L17" s="15"/>
      <c r="M17" s="32" t="s">
        <v>45</v>
      </c>
      <c r="N17" s="16"/>
      <c r="O17" s="7" t="str">
        <v>b</v>
      </c>
      <c r="P17" s="16"/>
      <c r="Q17" s="3" t="s">
        <v>122</v>
      </c>
      <c r="R17" s="4"/>
      <c r="S17" s="4"/>
      <c r="T17" s="4"/>
      <c r="U17" s="4"/>
      <c r="V17" s="4"/>
      <c r="W17" s="4"/>
      <c r="X17" s="4"/>
      <c r="Y17" s="5"/>
      <c r="Z17" s="17"/>
      <c r="AA17" s="16"/>
    </row>
    <row r="18" spans="4:27">
      <c r="D18" s="16"/>
      <c r="F18" s="35"/>
      <c r="G18" s="16"/>
      <c r="H18" s="16"/>
      <c r="I18" s="35"/>
      <c r="K18" s="16"/>
      <c r="L18" s="15"/>
      <c r="M18" s="33">
        <v>3</v>
      </c>
      <c r="N18" s="16"/>
      <c r="O18" s="8" t="str">
        <v>c</v>
      </c>
      <c r="P18" s="16"/>
      <c r="Q18" s="9">
        <f t="array" ref="Q18:V18" xml:space="preserve"> GetArrayForFormula(GetUniqueItems(RangeToArray($M$10:$M$18)))</f>
        <v>1</v>
      </c>
      <c r="R18" s="10">
        <v>2</v>
      </c>
      <c r="S18" s="10">
        <v>3</v>
      </c>
      <c r="T18" s="10" t="str">
        <v>a</v>
      </c>
      <c r="U18" s="10" t="str">
        <v>b</v>
      </c>
      <c r="V18" s="11" t="str">
        <v>c</v>
      </c>
      <c r="W18" s="16"/>
      <c r="X18" s="16"/>
      <c r="Y18" s="16"/>
      <c r="Z18" s="17"/>
      <c r="AA18" s="16"/>
    </row>
    <row r="19" spans="4:27" ht="15.75" thickBot="1">
      <c r="D19" s="16"/>
      <c r="F19" s="35"/>
      <c r="G19" s="16"/>
      <c r="H19" s="16"/>
      <c r="I19" s="35"/>
      <c r="K19" s="16"/>
      <c r="L19" s="19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1"/>
      <c r="AA19" s="16"/>
    </row>
    <row r="20" spans="4:27">
      <c r="D20" s="16"/>
      <c r="F20" s="16"/>
      <c r="G20" s="16"/>
      <c r="H20" s="16"/>
      <c r="I20" s="35"/>
      <c r="K20" s="16"/>
      <c r="L20" s="12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4"/>
      <c r="AA20" s="16"/>
    </row>
    <row r="21" spans="4:27">
      <c r="D21" s="16"/>
      <c r="E21" t="s">
        <v>67</v>
      </c>
      <c r="F21" t="s">
        <v>61</v>
      </c>
      <c r="G21" s="43" t="s">
        <v>129</v>
      </c>
      <c r="H21" s="16" t="s">
        <v>68</v>
      </c>
      <c r="I21" s="35" t="s">
        <v>68</v>
      </c>
      <c r="J21" s="2" t="str">
        <f t="shared" ref="J21:J24" si="1" xml:space="preserve"> IF(H21 = I21, "PASS", "FAIL")</f>
        <v>PASS</v>
      </c>
      <c r="K21" s="16"/>
      <c r="L21" s="15"/>
      <c r="M21" s="22" t="s">
        <v>124</v>
      </c>
      <c r="N21" s="23"/>
      <c r="O21" s="23"/>
      <c r="P21" s="23"/>
      <c r="Q21" s="24"/>
      <c r="R21" s="16"/>
      <c r="S21" s="16"/>
      <c r="T21" s="16"/>
      <c r="U21" s="16"/>
      <c r="V21" s="16"/>
      <c r="W21" s="16"/>
      <c r="X21" s="16"/>
      <c r="Y21" s="16"/>
      <c r="Z21" s="17"/>
      <c r="AA21" s="16"/>
    </row>
    <row r="22" spans="4:27">
      <c r="D22" s="16"/>
      <c r="E22" t="s">
        <v>67</v>
      </c>
      <c r="F22" s="16" t="s">
        <v>62</v>
      </c>
      <c r="G22" s="43" t="s">
        <v>130</v>
      </c>
      <c r="H22" s="16" t="s">
        <v>68</v>
      </c>
      <c r="I22" s="35" t="s">
        <v>68</v>
      </c>
      <c r="J22" s="2" t="str">
        <f t="shared" si="1"/>
        <v>PASS</v>
      </c>
      <c r="K22" s="16"/>
      <c r="L22" s="15"/>
      <c r="M22" s="25">
        <v>2</v>
      </c>
      <c r="N22" s="26">
        <v>1</v>
      </c>
      <c r="O22" s="26" t="s">
        <v>46</v>
      </c>
      <c r="P22" s="26" t="s">
        <v>54</v>
      </c>
      <c r="Q22" s="26" t="s">
        <v>45</v>
      </c>
      <c r="R22" s="26" t="s">
        <v>44</v>
      </c>
      <c r="S22" s="26" t="s">
        <v>46</v>
      </c>
      <c r="T22" s="26" t="s">
        <v>45</v>
      </c>
      <c r="U22" s="27" t="s">
        <v>54</v>
      </c>
      <c r="V22" s="16"/>
      <c r="W22" s="16"/>
      <c r="X22" s="16"/>
      <c r="Y22" s="16"/>
      <c r="Z22" s="17"/>
      <c r="AA22" s="16"/>
    </row>
    <row r="23" spans="4:27">
      <c r="D23" s="16"/>
      <c r="E23" t="s">
        <v>67</v>
      </c>
      <c r="F23" s="35" t="s">
        <v>64</v>
      </c>
      <c r="G23" s="43" t="s">
        <v>131</v>
      </c>
      <c r="H23" s="16" t="s">
        <v>68</v>
      </c>
      <c r="I23" s="35" t="s">
        <v>68</v>
      </c>
      <c r="J23" s="2" t="str">
        <f t="shared" si="1"/>
        <v>PASS</v>
      </c>
      <c r="K23" s="16"/>
      <c r="L23" s="15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7"/>
      <c r="AA23" s="16"/>
    </row>
    <row r="24" spans="4:27">
      <c r="D24" s="16"/>
      <c r="E24" t="s">
        <v>67</v>
      </c>
      <c r="F24" s="35" t="s">
        <v>65</v>
      </c>
      <c r="G24" s="43" t="s">
        <v>132</v>
      </c>
      <c r="H24" s="16">
        <v>6</v>
      </c>
      <c r="I24" s="16">
        <v>6</v>
      </c>
      <c r="J24" s="2" t="str">
        <f t="shared" si="1"/>
        <v>PASS</v>
      </c>
      <c r="K24" s="16"/>
      <c r="L24" s="15"/>
      <c r="M24" s="3" t="s">
        <v>123</v>
      </c>
      <c r="N24" s="4"/>
      <c r="O24" s="4"/>
      <c r="P24" s="4"/>
      <c r="Q24" s="4"/>
      <c r="R24" s="4"/>
      <c r="S24" s="4"/>
      <c r="T24" s="4"/>
      <c r="U24" s="5"/>
      <c r="V24" s="16"/>
      <c r="W24" s="16"/>
      <c r="X24" s="16"/>
      <c r="Y24" s="16"/>
      <c r="Z24" s="17"/>
      <c r="AA24" s="16"/>
    </row>
    <row r="25" spans="4:27">
      <c r="D25" s="16"/>
      <c r="E25" s="16"/>
      <c r="F25" s="16"/>
      <c r="G25" s="16"/>
      <c r="H25" s="16"/>
      <c r="I25" s="16"/>
      <c r="J25" s="18"/>
      <c r="K25" s="16"/>
      <c r="L25" s="15"/>
      <c r="M25" s="6">
        <f t="array" ref="M25:M30" xml:space="preserve"> GetArrayForFormula(GetUniqueItems(RangeToArray($M$22:$U$22)))</f>
        <v>1</v>
      </c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7"/>
      <c r="AA25" s="16"/>
    </row>
    <row r="26" spans="4:27">
      <c r="D26" s="16"/>
      <c r="E26" s="16"/>
      <c r="F26" s="16"/>
      <c r="G26" s="16"/>
      <c r="H26" s="16"/>
      <c r="I26" s="16"/>
      <c r="J26" s="18"/>
      <c r="K26" s="16"/>
      <c r="L26" s="15"/>
      <c r="M26" s="7">
        <v>2</v>
      </c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7"/>
      <c r="AA26" s="16"/>
    </row>
    <row r="27" spans="4:27">
      <c r="D27" s="16"/>
      <c r="E27" s="16"/>
      <c r="F27" s="16"/>
      <c r="G27" s="16"/>
      <c r="H27" s="16"/>
      <c r="I27" s="16"/>
      <c r="J27" s="18"/>
      <c r="K27" s="16"/>
      <c r="L27" s="15"/>
      <c r="M27" s="7" t="str">
        <v>a</v>
      </c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7"/>
      <c r="AA27" s="16"/>
    </row>
    <row r="28" spans="4:27">
      <c r="D28" s="16"/>
      <c r="E28" s="16"/>
      <c r="F28" s="16"/>
      <c r="G28" s="16"/>
      <c r="H28" s="16"/>
      <c r="I28" s="16"/>
      <c r="J28" s="18"/>
      <c r="K28" s="16"/>
      <c r="L28" s="15"/>
      <c r="M28" s="7" t="str">
        <v>b</v>
      </c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7"/>
      <c r="AA28" s="16"/>
    </row>
    <row r="29" spans="4:27">
      <c r="D29" s="16"/>
      <c r="E29" s="16"/>
      <c r="F29" s="16"/>
      <c r="G29" s="16"/>
      <c r="H29" s="16"/>
      <c r="I29" s="16"/>
      <c r="J29" s="18"/>
      <c r="K29" s="16"/>
      <c r="L29" s="15"/>
      <c r="M29" s="7" t="str">
        <v>c</v>
      </c>
      <c r="N29" s="16"/>
      <c r="O29" s="3" t="s">
        <v>122</v>
      </c>
      <c r="P29" s="4"/>
      <c r="Q29" s="4"/>
      <c r="R29" s="4"/>
      <c r="S29" s="4"/>
      <c r="T29" s="4"/>
      <c r="U29" s="4"/>
      <c r="V29" s="4"/>
      <c r="W29" s="5"/>
      <c r="X29" s="16"/>
      <c r="Y29" s="16"/>
      <c r="Z29" s="17"/>
      <c r="AA29" s="16"/>
    </row>
    <row r="30" spans="4:27">
      <c r="D30" s="16"/>
      <c r="E30" s="16"/>
      <c r="F30" s="16"/>
      <c r="G30" s="16"/>
      <c r="H30" s="16"/>
      <c r="I30" s="16"/>
      <c r="J30" s="18"/>
      <c r="K30" s="16"/>
      <c r="L30" s="15"/>
      <c r="M30" s="8" t="str">
        <v>x</v>
      </c>
      <c r="N30" s="16"/>
      <c r="O30" s="9">
        <f t="array" ref="O30:T30" xml:space="preserve"> GetArrayForFormula(GetUniqueItems(RangeToArray($M$22:$U$22)))</f>
        <v>1</v>
      </c>
      <c r="P30" s="10">
        <v>2</v>
      </c>
      <c r="Q30" s="10" t="str">
        <v>a</v>
      </c>
      <c r="R30" s="10" t="str">
        <v>b</v>
      </c>
      <c r="S30" s="10" t="str">
        <v>c</v>
      </c>
      <c r="T30" s="11" t="str">
        <v>x</v>
      </c>
      <c r="U30" s="16"/>
      <c r="V30" s="16"/>
      <c r="W30" s="16"/>
      <c r="X30" s="16"/>
      <c r="Y30" s="16"/>
      <c r="Z30" s="17"/>
    </row>
    <row r="31" spans="4:27" ht="15.75" thickBot="1">
      <c r="D31" s="16"/>
      <c r="E31" s="16"/>
      <c r="F31" s="16"/>
      <c r="G31" s="16"/>
      <c r="H31" s="16"/>
      <c r="I31" s="16"/>
      <c r="J31" s="18"/>
      <c r="K31" s="16"/>
      <c r="L31" s="19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1"/>
    </row>
    <row r="32" spans="4:27">
      <c r="D32" s="16"/>
      <c r="E32" s="16"/>
      <c r="F32" s="16"/>
      <c r="G32" s="16"/>
      <c r="H32" s="16"/>
      <c r="I32" s="16"/>
      <c r="J32" s="18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>
      <c r="D33" s="16"/>
      <c r="E33" s="16" t="s">
        <v>152</v>
      </c>
      <c r="F33" s="16" t="s">
        <v>153</v>
      </c>
      <c r="G33" s="16" t="s">
        <v>154</v>
      </c>
      <c r="H33" s="16" t="s">
        <v>155</v>
      </c>
      <c r="I33" s="16" t="s">
        <v>155</v>
      </c>
      <c r="J33" s="2" t="str">
        <f t="shared" ref="J33" si="2" xml:space="preserve"> IF(H33 = I33, "PASS", "FAIL")</f>
        <v>PASS</v>
      </c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>
      <c r="D34" s="16"/>
      <c r="E34" s="16" t="s">
        <v>152</v>
      </c>
      <c r="F34" s="16" t="s">
        <v>166</v>
      </c>
      <c r="G34" s="16" t="s">
        <v>167</v>
      </c>
      <c r="H34" s="16" t="s">
        <v>196</v>
      </c>
      <c r="I34" s="16" t="s">
        <v>196</v>
      </c>
      <c r="J34" s="2" t="str">
        <f t="shared" ref="J34" si="3" xml:space="preserve"> IF(H34 = I34, "PASS", "FAIL")</f>
        <v>PASS</v>
      </c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>
      <c r="D35" s="16"/>
      <c r="E35" s="16"/>
      <c r="F35" s="16"/>
      <c r="G35" s="16"/>
      <c r="H35" s="16"/>
      <c r="I35" s="16"/>
      <c r="J35" s="18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>
      <c r="A36" t="s">
        <v>9</v>
      </c>
      <c r="B36" t="b">
        <f xml:space="preserve"> NOT(ISNA(MATCH(A36, TblCoverage[Function], 0)))</f>
        <v>1</v>
      </c>
      <c r="C36" t="s">
        <v>52</v>
      </c>
      <c r="D36" s="16"/>
      <c r="E36" s="16" t="s">
        <v>9</v>
      </c>
      <c r="F36" s="16" t="s">
        <v>69</v>
      </c>
      <c r="G36" s="43" t="s">
        <v>106</v>
      </c>
      <c r="H36" s="16" t="b">
        <v>1</v>
      </c>
      <c r="I36" s="16" t="b">
        <v>1</v>
      </c>
      <c r="J36" s="2" t="str">
        <f t="shared" ref="J36:J40" si="4" xml:space="preserve"> IF(H36 = I36, "PASS", "FAIL")</f>
        <v>PASS</v>
      </c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>
      <c r="D37" s="16"/>
      <c r="E37" s="16" t="s">
        <v>9</v>
      </c>
      <c r="F37" s="16" t="s">
        <v>70</v>
      </c>
      <c r="G37" s="43" t="s">
        <v>107</v>
      </c>
      <c r="H37" s="16" t="b">
        <v>1</v>
      </c>
      <c r="I37" s="16" t="b">
        <v>1</v>
      </c>
      <c r="J37" s="2" t="str">
        <f t="shared" si="4"/>
        <v>PASS</v>
      </c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>
      <c r="D38" s="16"/>
      <c r="E38" s="16" t="s">
        <v>9</v>
      </c>
      <c r="F38" s="16" t="s">
        <v>83</v>
      </c>
      <c r="G38" s="43" t="s">
        <v>108</v>
      </c>
      <c r="H38" s="16" t="b">
        <v>0</v>
      </c>
      <c r="I38" s="16" t="b">
        <v>0</v>
      </c>
      <c r="J38" s="2" t="str">
        <f t="shared" si="4"/>
        <v>PASS</v>
      </c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>
      <c r="D39" s="16"/>
      <c r="E39" s="16" t="s">
        <v>9</v>
      </c>
      <c r="F39" s="35" t="s">
        <v>71</v>
      </c>
      <c r="G39" s="43" t="s">
        <v>109</v>
      </c>
      <c r="H39" s="16" t="b">
        <v>0</v>
      </c>
      <c r="I39" s="35" t="b">
        <v>0</v>
      </c>
      <c r="J39" s="2" t="str">
        <f t="shared" si="4"/>
        <v>PASS</v>
      </c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>
      <c r="D40" s="16"/>
      <c r="E40" s="16" t="s">
        <v>9</v>
      </c>
      <c r="F40" s="35" t="s">
        <v>79</v>
      </c>
      <c r="G40" s="43" t="s">
        <v>117</v>
      </c>
      <c r="H40" s="16" t="b">
        <v>0</v>
      </c>
      <c r="I40" s="35" t="b">
        <v>0</v>
      </c>
      <c r="J40" s="2" t="str">
        <f t="shared" si="4"/>
        <v>PASS</v>
      </c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>
      <c r="D41" s="16"/>
      <c r="E41" s="16"/>
      <c r="F41" s="16"/>
      <c r="G41" s="16"/>
      <c r="H41" s="16"/>
      <c r="I41" s="16"/>
      <c r="J41" s="18"/>
    </row>
    <row r="42" spans="1:26">
      <c r="A42" t="s">
        <v>8</v>
      </c>
      <c r="B42" t="b">
        <f xml:space="preserve"> NOT(ISNA(MATCH(A42, TblCoverage[Function], 0)))</f>
        <v>1</v>
      </c>
      <c r="C42" t="s">
        <v>52</v>
      </c>
      <c r="D42" s="16"/>
      <c r="E42" s="35" t="s">
        <v>8</v>
      </c>
      <c r="F42" s="35" t="s">
        <v>80</v>
      </c>
      <c r="G42" s="43" t="s">
        <v>110</v>
      </c>
      <c r="H42" s="16" t="b">
        <v>1</v>
      </c>
      <c r="I42" s="35" t="b">
        <v>1</v>
      </c>
      <c r="J42" s="2" t="str">
        <f t="shared" ref="J42:J44" si="5" xml:space="preserve"> IF(H42 = I42, "PASS", "FAIL")</f>
        <v>PASS</v>
      </c>
    </row>
    <row r="43" spans="1:26">
      <c r="D43" s="16"/>
      <c r="E43" s="35" t="s">
        <v>8</v>
      </c>
      <c r="F43" s="35" t="s">
        <v>81</v>
      </c>
      <c r="G43" s="42" t="s">
        <v>111</v>
      </c>
      <c r="H43" t="b">
        <v>0</v>
      </c>
      <c r="I43" s="35" t="b">
        <v>0</v>
      </c>
      <c r="J43" s="2" t="str">
        <f t="shared" si="5"/>
        <v>PASS</v>
      </c>
    </row>
    <row r="44" spans="1:26">
      <c r="E44" s="35" t="s">
        <v>8</v>
      </c>
      <c r="F44" s="35" t="s">
        <v>82</v>
      </c>
      <c r="G44" s="42" t="s">
        <v>112</v>
      </c>
      <c r="H44" t="b">
        <v>0</v>
      </c>
      <c r="I44" s="35" t="b">
        <v>0</v>
      </c>
      <c r="J44" s="2" t="str">
        <f t="shared" si="5"/>
        <v>PASS</v>
      </c>
    </row>
    <row r="46" spans="1:26">
      <c r="A46" t="s">
        <v>101</v>
      </c>
      <c r="B46" t="b">
        <f xml:space="preserve"> NOT(ISNA(MATCH(A46, TblCoverage[Function], 0)))</f>
        <v>1</v>
      </c>
      <c r="C46" t="s">
        <v>52</v>
      </c>
      <c r="E46" t="s">
        <v>101</v>
      </c>
      <c r="F46" t="s">
        <v>102</v>
      </c>
      <c r="G46" s="42" t="s">
        <v>113</v>
      </c>
      <c r="H46">
        <v>1</v>
      </c>
      <c r="I46">
        <v>1</v>
      </c>
      <c r="J46" s="2" t="str">
        <f t="shared" ref="J46:J49" si="6" xml:space="preserve"> IF(H46 = I46, "PASS", "FAIL")</f>
        <v>PASS</v>
      </c>
    </row>
    <row r="47" spans="1:26">
      <c r="A47" t="s">
        <v>51</v>
      </c>
      <c r="B47" t="b">
        <f xml:space="preserve"> NOT(ISNA(MATCH(A47, TblCoverage[Function], 0)))</f>
        <v>1</v>
      </c>
      <c r="C47" t="s">
        <v>52</v>
      </c>
      <c r="E47" t="s">
        <v>101</v>
      </c>
      <c r="F47" t="s">
        <v>103</v>
      </c>
      <c r="G47" s="42" t="s">
        <v>114</v>
      </c>
      <c r="H47">
        <v>2</v>
      </c>
      <c r="I47">
        <v>2</v>
      </c>
      <c r="J47" s="2" t="str">
        <f t="shared" si="6"/>
        <v>PASS</v>
      </c>
    </row>
    <row r="48" spans="1:26">
      <c r="E48" t="s">
        <v>101</v>
      </c>
      <c r="F48" t="s">
        <v>104</v>
      </c>
      <c r="G48" s="42" t="s">
        <v>115</v>
      </c>
      <c r="H48">
        <v>1</v>
      </c>
      <c r="I48">
        <v>1</v>
      </c>
      <c r="J48" s="2" t="str">
        <f t="shared" si="6"/>
        <v>PASS</v>
      </c>
    </row>
    <row r="49" spans="1:10">
      <c r="E49" t="s">
        <v>101</v>
      </c>
      <c r="F49" t="s">
        <v>105</v>
      </c>
      <c r="G49" s="42" t="s">
        <v>116</v>
      </c>
      <c r="H49">
        <v>2</v>
      </c>
      <c r="I49">
        <v>2</v>
      </c>
      <c r="J49" s="2" t="str">
        <f t="shared" si="6"/>
        <v>PASS</v>
      </c>
    </row>
    <row r="51" spans="1:10">
      <c r="A51" t="s">
        <v>85</v>
      </c>
      <c r="B51" t="b">
        <f xml:space="preserve"> NOT(ISNA(MATCH(A51, TblCoverage[Function], 0)))</f>
        <v>1</v>
      </c>
      <c r="C51" t="s">
        <v>52</v>
      </c>
      <c r="E51" t="s">
        <v>133</v>
      </c>
      <c r="F51" t="s">
        <v>135</v>
      </c>
      <c r="G51" t="s">
        <v>137</v>
      </c>
      <c r="H51" t="s">
        <v>134</v>
      </c>
      <c r="I51" t="s">
        <v>134</v>
      </c>
      <c r="J51" s="2" t="str">
        <f t="shared" ref="J51:J85" si="7" xml:space="preserve"> IF(H51 = I51, "PASS", "FAIL")</f>
        <v>PASS</v>
      </c>
    </row>
    <row r="52" spans="1:10">
      <c r="A52" t="s">
        <v>86</v>
      </c>
      <c r="B52" t="b">
        <f xml:space="preserve"> NOT(ISNA(MATCH(A52, TblCoverage[Function], 0)))</f>
        <v>1</v>
      </c>
      <c r="C52" t="s">
        <v>52</v>
      </c>
      <c r="E52" t="s">
        <v>133</v>
      </c>
      <c r="F52" t="s">
        <v>136</v>
      </c>
      <c r="G52" t="s">
        <v>138</v>
      </c>
      <c r="H52" t="s">
        <v>134</v>
      </c>
      <c r="I52" t="s">
        <v>134</v>
      </c>
      <c r="J52" s="2" t="str">
        <f t="shared" si="7"/>
        <v>PASS</v>
      </c>
    </row>
    <row r="53" spans="1:10">
      <c r="A53" t="s">
        <v>87</v>
      </c>
      <c r="B53" t="b">
        <f xml:space="preserve"> NOT(ISNA(MATCH(A53, TblCoverage[Function], 0)))</f>
        <v>1</v>
      </c>
      <c r="C53" t="s">
        <v>52</v>
      </c>
      <c r="E53" t="s">
        <v>133</v>
      </c>
      <c r="F53" t="s">
        <v>140</v>
      </c>
      <c r="G53" t="s">
        <v>141</v>
      </c>
      <c r="H53" t="s">
        <v>134</v>
      </c>
      <c r="I53" t="s">
        <v>134</v>
      </c>
      <c r="J53" s="2" t="str">
        <f t="shared" si="7"/>
        <v>PASS</v>
      </c>
    </row>
    <row r="54" spans="1:10">
      <c r="E54" t="s">
        <v>133</v>
      </c>
      <c r="F54" t="s">
        <v>142</v>
      </c>
      <c r="G54" t="s">
        <v>143</v>
      </c>
      <c r="H54" t="s">
        <v>134</v>
      </c>
      <c r="I54" t="s">
        <v>134</v>
      </c>
      <c r="J54" s="2" t="str">
        <f t="shared" si="7"/>
        <v>PASS</v>
      </c>
    </row>
    <row r="55" spans="1:10">
      <c r="E55" t="s">
        <v>133</v>
      </c>
      <c r="F55" t="s">
        <v>144</v>
      </c>
      <c r="G55" t="s">
        <v>148</v>
      </c>
      <c r="H55" t="s">
        <v>156</v>
      </c>
      <c r="I55" t="s">
        <v>156</v>
      </c>
      <c r="J55" s="2" t="str">
        <f t="shared" si="7"/>
        <v>PASS</v>
      </c>
    </row>
    <row r="56" spans="1:10">
      <c r="E56" t="s">
        <v>133</v>
      </c>
      <c r="F56" t="s">
        <v>145</v>
      </c>
      <c r="G56" t="s">
        <v>149</v>
      </c>
      <c r="H56" t="s">
        <v>156</v>
      </c>
      <c r="I56" t="s">
        <v>156</v>
      </c>
      <c r="J56" s="2" t="str">
        <f t="shared" si="7"/>
        <v>PASS</v>
      </c>
    </row>
    <row r="57" spans="1:10">
      <c r="E57" t="s">
        <v>133</v>
      </c>
      <c r="F57" t="s">
        <v>146</v>
      </c>
      <c r="G57" t="s">
        <v>150</v>
      </c>
      <c r="H57" t="s">
        <v>134</v>
      </c>
      <c r="I57" t="s">
        <v>134</v>
      </c>
      <c r="J57" s="2" t="str">
        <f t="shared" si="7"/>
        <v>PASS</v>
      </c>
    </row>
    <row r="58" spans="1:10">
      <c r="E58" t="s">
        <v>133</v>
      </c>
      <c r="F58" t="s">
        <v>147</v>
      </c>
      <c r="G58" t="s">
        <v>151</v>
      </c>
      <c r="H58" t="s">
        <v>156</v>
      </c>
      <c r="I58" t="s">
        <v>156</v>
      </c>
      <c r="J58" s="2" t="str">
        <f t="shared" si="7"/>
        <v>PASS</v>
      </c>
    </row>
    <row r="60" spans="1:10">
      <c r="A60" t="s">
        <v>88</v>
      </c>
      <c r="B60" t="b">
        <f xml:space="preserve"> NOT(ISNA(MATCH(A60, TblCoverage[Function], 0)))</f>
        <v>1</v>
      </c>
      <c r="C60" t="s">
        <v>52</v>
      </c>
      <c r="E60" t="s">
        <v>159</v>
      </c>
      <c r="F60" t="s">
        <v>161</v>
      </c>
      <c r="G60" s="42" t="s">
        <v>164</v>
      </c>
      <c r="H60" t="s">
        <v>162</v>
      </c>
      <c r="I60" t="s">
        <v>162</v>
      </c>
      <c r="J60" s="2" t="str">
        <f t="shared" si="7"/>
        <v>PASS</v>
      </c>
    </row>
    <row r="61" spans="1:10">
      <c r="E61" t="s">
        <v>159</v>
      </c>
      <c r="F61" t="s">
        <v>160</v>
      </c>
      <c r="G61" s="42" t="s">
        <v>165</v>
      </c>
      <c r="H61" t="s">
        <v>163</v>
      </c>
      <c r="I61" t="s">
        <v>163</v>
      </c>
      <c r="J61" s="2" t="str">
        <f t="shared" si="7"/>
        <v>PASS</v>
      </c>
    </row>
    <row r="63" spans="1:10">
      <c r="A63" t="s">
        <v>10</v>
      </c>
      <c r="B63" t="b">
        <f xml:space="preserve"> NOT(ISNA(MATCH(A63, TblCoverage[Function], 0)))</f>
        <v>1</v>
      </c>
      <c r="C63" t="s">
        <v>52</v>
      </c>
      <c r="E63" t="s">
        <v>10</v>
      </c>
      <c r="F63" t="s">
        <v>182</v>
      </c>
      <c r="G63" s="42" t="s">
        <v>168</v>
      </c>
      <c r="H63" t="s">
        <v>175</v>
      </c>
      <c r="I63" t="s">
        <v>175</v>
      </c>
      <c r="J63" s="2" t="str">
        <f t="shared" si="7"/>
        <v>PASS</v>
      </c>
    </row>
    <row r="64" spans="1:10">
      <c r="A64" t="s">
        <v>11</v>
      </c>
      <c r="B64" t="b">
        <f xml:space="preserve"> NOT(ISNA(MATCH(A64, TblCoverage[Function], 0)))</f>
        <v>1</v>
      </c>
      <c r="C64" t="s">
        <v>52</v>
      </c>
      <c r="E64" t="s">
        <v>10</v>
      </c>
      <c r="F64" t="s">
        <v>183</v>
      </c>
      <c r="G64" s="42" t="s">
        <v>169</v>
      </c>
      <c r="H64" t="s">
        <v>176</v>
      </c>
      <c r="I64" t="s">
        <v>176</v>
      </c>
      <c r="J64" s="2" t="str">
        <f t="shared" si="7"/>
        <v>PASS</v>
      </c>
    </row>
    <row r="65" spans="1:10">
      <c r="E65" t="s">
        <v>10</v>
      </c>
      <c r="F65" t="s">
        <v>184</v>
      </c>
      <c r="G65" s="42" t="s">
        <v>170</v>
      </c>
      <c r="H65" t="s">
        <v>177</v>
      </c>
      <c r="I65" t="s">
        <v>177</v>
      </c>
      <c r="J65" s="2" t="str">
        <f t="shared" si="7"/>
        <v>PASS</v>
      </c>
    </row>
    <row r="66" spans="1:10">
      <c r="E66" t="s">
        <v>10</v>
      </c>
      <c r="F66" t="s">
        <v>185</v>
      </c>
      <c r="G66" s="42" t="s">
        <v>171</v>
      </c>
      <c r="H66" t="s">
        <v>178</v>
      </c>
      <c r="I66" t="s">
        <v>178</v>
      </c>
      <c r="J66" s="2" t="str">
        <f t="shared" si="7"/>
        <v>PASS</v>
      </c>
    </row>
    <row r="67" spans="1:10">
      <c r="E67" t="s">
        <v>10</v>
      </c>
      <c r="F67" t="s">
        <v>186</v>
      </c>
      <c r="G67" s="42" t="s">
        <v>172</v>
      </c>
      <c r="H67" t="s">
        <v>179</v>
      </c>
      <c r="I67" t="s">
        <v>179</v>
      </c>
      <c r="J67" s="2" t="str">
        <f t="shared" si="7"/>
        <v>PASS</v>
      </c>
    </row>
    <row r="68" spans="1:10">
      <c r="E68" t="s">
        <v>10</v>
      </c>
      <c r="F68" t="s">
        <v>187</v>
      </c>
      <c r="G68" s="42" t="s">
        <v>173</v>
      </c>
      <c r="H68" t="s">
        <v>180</v>
      </c>
      <c r="I68" t="s">
        <v>180</v>
      </c>
      <c r="J68" s="2" t="str">
        <f t="shared" si="7"/>
        <v>PASS</v>
      </c>
    </row>
    <row r="69" spans="1:10">
      <c r="E69" t="s">
        <v>10</v>
      </c>
      <c r="F69" t="s">
        <v>188</v>
      </c>
      <c r="G69" s="42" t="s">
        <v>174</v>
      </c>
      <c r="H69" t="s">
        <v>181</v>
      </c>
      <c r="I69" t="s">
        <v>181</v>
      </c>
      <c r="J69" s="2" t="str">
        <f t="shared" si="7"/>
        <v>PASS</v>
      </c>
    </row>
    <row r="70" spans="1:10">
      <c r="E70" t="s">
        <v>10</v>
      </c>
      <c r="F70" t="s">
        <v>189</v>
      </c>
      <c r="G70" s="42" t="s">
        <v>197</v>
      </c>
      <c r="H70">
        <v>1</v>
      </c>
      <c r="I70">
        <v>1</v>
      </c>
      <c r="J70" s="2" t="str">
        <f t="shared" si="7"/>
        <v>PASS</v>
      </c>
    </row>
    <row r="71" spans="1:10">
      <c r="E71" t="s">
        <v>10</v>
      </c>
      <c r="F71" t="s">
        <v>190</v>
      </c>
      <c r="G71" s="42" t="s">
        <v>198</v>
      </c>
      <c r="H71">
        <v>26</v>
      </c>
      <c r="I71">
        <v>26</v>
      </c>
      <c r="J71" s="2" t="str">
        <f t="shared" si="7"/>
        <v>PASS</v>
      </c>
    </row>
    <row r="72" spans="1:10">
      <c r="E72" t="s">
        <v>10</v>
      </c>
      <c r="F72" t="s">
        <v>191</v>
      </c>
      <c r="G72" s="42" t="s">
        <v>199</v>
      </c>
      <c r="H72">
        <v>27</v>
      </c>
      <c r="I72">
        <v>27</v>
      </c>
      <c r="J72" s="2" t="str">
        <f t="shared" si="7"/>
        <v>PASS</v>
      </c>
    </row>
    <row r="73" spans="1:10">
      <c r="E73" t="s">
        <v>10</v>
      </c>
      <c r="F73" t="s">
        <v>192</v>
      </c>
      <c r="G73" s="42" t="s">
        <v>200</v>
      </c>
      <c r="H73">
        <v>256</v>
      </c>
      <c r="I73">
        <v>256</v>
      </c>
      <c r="J73" s="2" t="str">
        <f t="shared" si="7"/>
        <v>PASS</v>
      </c>
    </row>
    <row r="74" spans="1:10">
      <c r="E74" t="s">
        <v>10</v>
      </c>
      <c r="F74" t="s">
        <v>193</v>
      </c>
      <c r="G74" s="42" t="s">
        <v>201</v>
      </c>
      <c r="H74">
        <v>16380</v>
      </c>
      <c r="I74">
        <v>16380</v>
      </c>
      <c r="J74" s="2" t="str">
        <f t="shared" si="7"/>
        <v>PASS</v>
      </c>
    </row>
    <row r="75" spans="1:10">
      <c r="E75" t="s">
        <v>10</v>
      </c>
      <c r="F75" t="s">
        <v>194</v>
      </c>
      <c r="G75" s="42" t="s">
        <v>202</v>
      </c>
      <c r="H75">
        <v>16381</v>
      </c>
      <c r="I75">
        <v>16381</v>
      </c>
      <c r="J75" s="2" t="str">
        <f t="shared" si="7"/>
        <v>PASS</v>
      </c>
    </row>
    <row r="76" spans="1:10">
      <c r="E76" t="s">
        <v>10</v>
      </c>
      <c r="F76" t="s">
        <v>195</v>
      </c>
      <c r="G76" s="42" t="s">
        <v>203</v>
      </c>
      <c r="H76">
        <v>16384</v>
      </c>
      <c r="I76">
        <v>16384</v>
      </c>
      <c r="J76" s="2" t="str">
        <f t="shared" si="7"/>
        <v>PASS</v>
      </c>
    </row>
    <row r="78" spans="1:10">
      <c r="A78" t="s">
        <v>12</v>
      </c>
      <c r="B78" t="b">
        <f xml:space="preserve"> NOT(ISNA(MATCH(A78, TblCoverage[Function], 0)))</f>
        <v>1</v>
      </c>
      <c r="C78" t="s">
        <v>52</v>
      </c>
      <c r="E78" t="s">
        <v>12</v>
      </c>
      <c r="F78" t="s">
        <v>204</v>
      </c>
      <c r="G78" s="42" t="s">
        <v>212</v>
      </c>
      <c r="H78" t="s">
        <v>220</v>
      </c>
      <c r="I78" t="s">
        <v>220</v>
      </c>
      <c r="J78" s="2" t="str">
        <f t="shared" si="7"/>
        <v>PASS</v>
      </c>
    </row>
    <row r="79" spans="1:10">
      <c r="E79" t="s">
        <v>12</v>
      </c>
      <c r="F79" t="s">
        <v>205</v>
      </c>
      <c r="G79" s="42" t="s">
        <v>213</v>
      </c>
      <c r="H79" t="s">
        <v>221</v>
      </c>
      <c r="I79" t="s">
        <v>221</v>
      </c>
      <c r="J79" s="2" t="str">
        <f t="shared" si="7"/>
        <v>PASS</v>
      </c>
    </row>
    <row r="80" spans="1:10">
      <c r="E80" t="s">
        <v>12</v>
      </c>
      <c r="F80" t="s">
        <v>206</v>
      </c>
      <c r="G80" s="42" t="s">
        <v>214</v>
      </c>
      <c r="H80" t="s">
        <v>222</v>
      </c>
      <c r="I80" t="s">
        <v>222</v>
      </c>
      <c r="J80" s="2" t="str">
        <f t="shared" si="7"/>
        <v>PASS</v>
      </c>
    </row>
    <row r="81" spans="5:10">
      <c r="E81" t="s">
        <v>12</v>
      </c>
      <c r="F81" t="s">
        <v>207</v>
      </c>
      <c r="G81" s="42" t="s">
        <v>215</v>
      </c>
      <c r="H81" t="s">
        <v>223</v>
      </c>
      <c r="I81" t="s">
        <v>223</v>
      </c>
      <c r="J81" s="2" t="str">
        <f t="shared" si="7"/>
        <v>PASS</v>
      </c>
    </row>
    <row r="82" spans="5:10">
      <c r="E82" t="s">
        <v>12</v>
      </c>
      <c r="F82" t="s">
        <v>208</v>
      </c>
      <c r="G82" s="42" t="s">
        <v>216</v>
      </c>
      <c r="H82" t="s">
        <v>224</v>
      </c>
      <c r="I82" t="s">
        <v>224</v>
      </c>
      <c r="J82" s="2" t="str">
        <f t="shared" si="7"/>
        <v>PASS</v>
      </c>
    </row>
    <row r="83" spans="5:10">
      <c r="E83" t="s">
        <v>12</v>
      </c>
      <c r="F83" t="s">
        <v>209</v>
      </c>
      <c r="G83" s="42" t="s">
        <v>217</v>
      </c>
      <c r="H83" s="42" t="s">
        <v>225</v>
      </c>
      <c r="I83" s="42" t="s">
        <v>225</v>
      </c>
      <c r="J83" s="2" t="str">
        <f t="shared" si="7"/>
        <v>PASS</v>
      </c>
    </row>
    <row r="84" spans="5:10">
      <c r="E84" t="s">
        <v>12</v>
      </c>
      <c r="F84" t="s">
        <v>210</v>
      </c>
      <c r="G84" s="42" t="s">
        <v>218</v>
      </c>
      <c r="H84" s="42" t="s">
        <v>226</v>
      </c>
      <c r="I84" s="42" t="s">
        <v>226</v>
      </c>
      <c r="J84" s="2" t="str">
        <f t="shared" si="7"/>
        <v>PASS</v>
      </c>
    </row>
    <row r="85" spans="5:10">
      <c r="E85" t="s">
        <v>12</v>
      </c>
      <c r="F85" t="s">
        <v>211</v>
      </c>
      <c r="G85" s="42" t="s">
        <v>219</v>
      </c>
      <c r="H85" s="42" t="s">
        <v>227</v>
      </c>
      <c r="I85" s="42" t="s">
        <v>227</v>
      </c>
      <c r="J85" s="2" t="str">
        <f t="shared" si="7"/>
        <v>PASS</v>
      </c>
    </row>
  </sheetData>
  <conditionalFormatting sqref="A7:B10009">
    <cfRule type="expression" dxfId="7" priority="1">
      <formula xml:space="preserve"> ""&amp;$B7 = "FALSE"</formula>
    </cfRule>
  </conditionalFormatting>
  <conditionalFormatting sqref="J7:J10009">
    <cfRule type="cellIs" dxfId="6" priority="2" operator="equal">
      <formula>"FAIL"</formula>
    </cfRule>
    <cfRule type="cellIs" dxfId="5" priority="3" operator="equal">
      <formula>"PASS"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1:H61"/>
  <sheetViews>
    <sheetView workbookViewId="0"/>
  </sheetViews>
  <sheetFormatPr defaultRowHeight="15"/>
  <cols>
    <col min="1" max="1" width="17" bestFit="1" customWidth="1"/>
    <col min="2" max="2" width="23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40">
        <f xml:space="preserve"> COUNTIFS(Tests!$A:$A,[Function], Tests!$C:$C,"Direct")</f>
        <v>0</v>
      </c>
      <c r="D2" s="40">
        <f xml:space="preserve"> COUNTIFS(Tests!$A:$A,[Function], Tests!$C:$C,"Indirect")</f>
        <v>1</v>
      </c>
      <c r="E2" s="40" t="b">
        <f xml:space="preserve"> [Direct Tests] + [Indirect Tests] &gt; 0</f>
        <v>1</v>
      </c>
      <c r="G2" s="36" t="s">
        <v>75</v>
      </c>
      <c r="H2" s="37">
        <f xml:space="preserve"> COUNTIF(TblCoverage[Covered], TRUE)</f>
        <v>20</v>
      </c>
    </row>
    <row r="3" spans="1:8" ht="15.75" thickBot="1">
      <c r="A3" t="s">
        <v>2</v>
      </c>
      <c r="B3" t="s">
        <v>101</v>
      </c>
      <c r="C3" s="40">
        <f xml:space="preserve"> COUNTIFS(Tests!$A:$A,[Function], Tests!$C:$C,"Direct")</f>
        <v>1</v>
      </c>
      <c r="D3" s="40">
        <f xml:space="preserve"> COUNTIFS(Tests!$A:$A,[Function], Tests!$C:$C,"Indirect")</f>
        <v>0</v>
      </c>
      <c r="E3" s="40" t="b">
        <f xml:space="preserve"> [Direct Tests] + [Indirect Tests] &gt; 0</f>
        <v>1</v>
      </c>
      <c r="G3" s="38" t="s">
        <v>76</v>
      </c>
      <c r="H3" s="39">
        <f xml:space="preserve"> COUNTIF(TblCoverage[Covered], FALSE)</f>
        <v>40</v>
      </c>
    </row>
    <row r="4" spans="1:8">
      <c r="A4" t="s">
        <v>2</v>
      </c>
      <c r="B4" t="s">
        <v>4</v>
      </c>
      <c r="C4" s="40">
        <f xml:space="preserve"> COUNTIFS(Tests!$A:$A,[Function], Tests!$C:$C,"Direct")</f>
        <v>1</v>
      </c>
      <c r="D4" s="40">
        <f xml:space="preserve"> COUNTIFS(Tests!$A:$A,[Function], Tests!$C:$C,"Indirect")</f>
        <v>0</v>
      </c>
      <c r="E4" s="40" t="b">
        <f xml:space="preserve"> [Direct Tests] + [Indirect Tests] &gt; 0</f>
        <v>1</v>
      </c>
    </row>
    <row r="5" spans="1:8">
      <c r="A5" t="s">
        <v>2</v>
      </c>
      <c r="B5" t="s">
        <v>47</v>
      </c>
      <c r="C5" s="40">
        <f xml:space="preserve"> COUNTIFS(Tests!$A:$A,[Function], Tests!$C:$C,"Direct")</f>
        <v>0</v>
      </c>
      <c r="D5" s="40">
        <f xml:space="preserve"> COUNTIFS(Tests!$A:$A,[Function], Tests!$C:$C,"Indirect")</f>
        <v>1</v>
      </c>
      <c r="E5" s="40" t="b">
        <f xml:space="preserve"> [Direct Tests] + [Indirect Tests] &gt; 0</f>
        <v>1</v>
      </c>
    </row>
    <row r="6" spans="1:8">
      <c r="A6" t="s">
        <v>2</v>
      </c>
      <c r="B6" t="s">
        <v>48</v>
      </c>
      <c r="C6" s="40">
        <f xml:space="preserve"> COUNTIFS(Tests!$A:$A,[Function], Tests!$C:$C,"Direct")</f>
        <v>0</v>
      </c>
      <c r="D6" s="40">
        <f xml:space="preserve"> COUNTIFS(Tests!$A:$A,[Function], Tests!$C:$C,"Indirect")</f>
        <v>1</v>
      </c>
      <c r="E6" s="40" t="b">
        <f xml:space="preserve"> [Direct Tests] + [Indirect Tests] &gt; 0</f>
        <v>1</v>
      </c>
    </row>
    <row r="7" spans="1:8">
      <c r="A7" t="s">
        <v>2</v>
      </c>
      <c r="B7" t="s">
        <v>49</v>
      </c>
      <c r="C7" s="40">
        <f xml:space="preserve"> COUNTIFS(Tests!$A:$A,[Function], Tests!$C:$C,"Direct")</f>
        <v>1</v>
      </c>
      <c r="D7" s="40">
        <f xml:space="preserve"> COUNTIFS(Tests!$A:$A,[Function], Tests!$C:$C,"Indirect")</f>
        <v>0</v>
      </c>
      <c r="E7" s="40" t="b">
        <f xml:space="preserve"> [Direct Tests] + [Indirect Tests] &gt; 0</f>
        <v>1</v>
      </c>
    </row>
    <row r="8" spans="1:8">
      <c r="A8" t="s">
        <v>7</v>
      </c>
      <c r="B8" t="s">
        <v>8</v>
      </c>
      <c r="C8" s="40">
        <f xml:space="preserve"> COUNTIFS(Tests!$A:$A,[Function], Tests!$C:$C,"Direct")</f>
        <v>1</v>
      </c>
      <c r="D8" s="40">
        <f xml:space="preserve"> COUNTIFS(Tests!$A:$A,[Function], Tests!$C:$C,"Indirect")</f>
        <v>0</v>
      </c>
      <c r="E8" s="40" t="b">
        <f xml:space="preserve"> [Direct Tests] + [Indirect Tests] &gt; 0</f>
        <v>1</v>
      </c>
    </row>
    <row r="9" spans="1:8">
      <c r="A9" t="s">
        <v>7</v>
      </c>
      <c r="B9" t="s">
        <v>9</v>
      </c>
      <c r="C9" s="40">
        <f xml:space="preserve"> COUNTIFS(Tests!$A:$A,[Function], Tests!$C:$C,"Direct")</f>
        <v>1</v>
      </c>
      <c r="D9" s="40">
        <f xml:space="preserve"> COUNTIFS(Tests!$A:$A,[Function], Tests!$C:$C,"Indirect")</f>
        <v>0</v>
      </c>
      <c r="E9" s="40" t="b">
        <f xml:space="preserve"> [Direct Tests] + [Indirect Tests] &gt; 0</f>
        <v>1</v>
      </c>
    </row>
    <row r="10" spans="1:8">
      <c r="A10" t="s">
        <v>7</v>
      </c>
      <c r="B10" t="s">
        <v>228</v>
      </c>
      <c r="C10" s="40">
        <f xml:space="preserve"> COUNTIFS(Tests!$A:$A,[Function], Tests!$C:$C,"Direct")</f>
        <v>0</v>
      </c>
      <c r="D10" s="40">
        <f xml:space="preserve"> COUNTIFS(Tests!$A:$A,[Function], Tests!$C:$C,"Indirect")</f>
        <v>0</v>
      </c>
      <c r="E10" s="40" t="b">
        <f xml:space="preserve"> [Direct Tests] + [Indirect Tests] &gt; 0</f>
        <v>0</v>
      </c>
    </row>
    <row r="11" spans="1:8">
      <c r="A11" t="s">
        <v>7</v>
      </c>
      <c r="B11" t="s">
        <v>85</v>
      </c>
      <c r="C11" s="40">
        <f xml:space="preserve"> COUNTIFS(Tests!$A:$A,[Function], Tests!$C:$C,"Direct")</f>
        <v>1</v>
      </c>
      <c r="D11" s="40">
        <f xml:space="preserve"> COUNTIFS(Tests!$A:$A,[Function], Tests!$C:$C,"Indirect")</f>
        <v>0</v>
      </c>
      <c r="E11" s="40" t="b">
        <f xml:space="preserve"> [Direct Tests] + [Indirect Tests] &gt; 0</f>
        <v>1</v>
      </c>
    </row>
    <row r="12" spans="1:8">
      <c r="A12" t="s">
        <v>7</v>
      </c>
      <c r="B12" t="s">
        <v>86</v>
      </c>
      <c r="C12" s="40">
        <f xml:space="preserve"> COUNTIFS(Tests!$A:$A,[Function], Tests!$C:$C,"Direct")</f>
        <v>1</v>
      </c>
      <c r="D12" s="40">
        <f xml:space="preserve"> COUNTIFS(Tests!$A:$A,[Function], Tests!$C:$C,"Indirect")</f>
        <v>0</v>
      </c>
      <c r="E12" s="40" t="b">
        <f xml:space="preserve"> [Direct Tests] + [Indirect Tests] &gt; 0</f>
        <v>1</v>
      </c>
    </row>
    <row r="13" spans="1:8">
      <c r="A13" t="s">
        <v>7</v>
      </c>
      <c r="B13" t="s">
        <v>87</v>
      </c>
      <c r="C13" s="40">
        <f xml:space="preserve"> COUNTIFS(Tests!$A:$A,[Function], Tests!$C:$C,"Direct")</f>
        <v>1</v>
      </c>
      <c r="D13" s="40">
        <f xml:space="preserve"> COUNTIFS(Tests!$A:$A,[Function], Tests!$C:$C,"Indirect")</f>
        <v>0</v>
      </c>
      <c r="E13" s="40" t="b">
        <f xml:space="preserve"> [Direct Tests] + [Indirect Tests] &gt; 0</f>
        <v>1</v>
      </c>
    </row>
    <row r="14" spans="1:8">
      <c r="A14" t="s">
        <v>7</v>
      </c>
      <c r="B14" t="s">
        <v>88</v>
      </c>
      <c r="C14" s="40">
        <f xml:space="preserve"> COUNTIFS(Tests!$A:$A,[Function], Tests!$C:$C,"Direct")</f>
        <v>1</v>
      </c>
      <c r="D14" s="40">
        <f xml:space="preserve"> COUNTIFS(Tests!$A:$A,[Function], Tests!$C:$C,"Indirect")</f>
        <v>0</v>
      </c>
      <c r="E14" s="40" t="b">
        <f xml:space="preserve"> [Direct Tests] + [Indirect Tests] &gt; 0</f>
        <v>1</v>
      </c>
    </row>
    <row r="15" spans="1:8">
      <c r="A15" t="s">
        <v>7</v>
      </c>
      <c r="B15" t="s">
        <v>10</v>
      </c>
      <c r="C15" s="40">
        <f xml:space="preserve"> COUNTIFS(Tests!$A:$A,[Function], Tests!$C:$C,"Direct")</f>
        <v>1</v>
      </c>
      <c r="D15" s="40">
        <f xml:space="preserve"> COUNTIFS(Tests!$A:$A,[Function], Tests!$C:$C,"Indirect")</f>
        <v>0</v>
      </c>
      <c r="E15" s="40" t="b">
        <f xml:space="preserve"> [Direct Tests] + [Indirect Tests] &gt; 0</f>
        <v>1</v>
      </c>
    </row>
    <row r="16" spans="1:8">
      <c r="A16" t="s">
        <v>7</v>
      </c>
      <c r="B16" t="s">
        <v>11</v>
      </c>
      <c r="C16" s="40">
        <f xml:space="preserve"> COUNTIFS(Tests!$A:$A,[Function], Tests!$C:$C,"Direct")</f>
        <v>1</v>
      </c>
      <c r="D16" s="40">
        <f xml:space="preserve"> COUNTIFS(Tests!$A:$A,[Function], Tests!$C:$C,"Indirect")</f>
        <v>0</v>
      </c>
      <c r="E16" s="40" t="b">
        <f xml:space="preserve"> [Direct Tests] + [Indirect Tests] &gt; 0</f>
        <v>1</v>
      </c>
    </row>
    <row r="17" spans="1:5">
      <c r="A17" t="s">
        <v>7</v>
      </c>
      <c r="B17" t="s">
        <v>12</v>
      </c>
      <c r="C17" s="40">
        <f xml:space="preserve"> COUNTIFS(Tests!$A:$A,[Function], Tests!$C:$C,"Direct")</f>
        <v>1</v>
      </c>
      <c r="D17" s="40">
        <f xml:space="preserve"> COUNTIFS(Tests!$A:$A,[Function], Tests!$C:$C,"Indirect")</f>
        <v>0</v>
      </c>
      <c r="E17" s="40" t="b">
        <f xml:space="preserve"> [Direct Tests] + [Indirect Tests] &gt; 0</f>
        <v>1</v>
      </c>
    </row>
    <row r="18" spans="1:5">
      <c r="A18" t="s">
        <v>7</v>
      </c>
      <c r="B18" t="s">
        <v>13</v>
      </c>
      <c r="C18" s="40">
        <f xml:space="preserve"> COUNTIFS(Tests!$A:$A,[Function], Tests!$C:$C,"Direct")</f>
        <v>0</v>
      </c>
      <c r="D18" s="40">
        <f xml:space="preserve"> COUNTIFS(Tests!$A:$A,[Function], Tests!$C:$C,"Indirect")</f>
        <v>0</v>
      </c>
      <c r="E18" s="40" t="b">
        <f xml:space="preserve"> [Direct Tests] + [Indirect Tests] &gt; 0</f>
        <v>0</v>
      </c>
    </row>
    <row r="19" spans="1:5">
      <c r="A19" t="s">
        <v>7</v>
      </c>
      <c r="B19" t="s">
        <v>14</v>
      </c>
      <c r="C19" s="40">
        <f xml:space="preserve"> COUNTIFS(Tests!$A:$A,[Function], Tests!$C:$C,"Direct")</f>
        <v>0</v>
      </c>
      <c r="D19" s="40">
        <f xml:space="preserve"> COUNTIFS(Tests!$A:$A,[Function], Tests!$C:$C,"Indirect")</f>
        <v>0</v>
      </c>
      <c r="E19" s="40" t="b">
        <f xml:space="preserve"> [Direct Tests] + [Indirect Tests] &gt; 0</f>
        <v>0</v>
      </c>
    </row>
    <row r="20" spans="1:5">
      <c r="A20" t="s">
        <v>7</v>
      </c>
      <c r="B20" t="s">
        <v>89</v>
      </c>
      <c r="C20" s="40">
        <f xml:space="preserve"> COUNTIFS(Tests!$A:$A,[Function], Tests!$C:$C,"Direct")</f>
        <v>0</v>
      </c>
      <c r="D20" s="40">
        <f xml:space="preserve"> COUNTIFS(Tests!$A:$A,[Function], Tests!$C:$C,"Indirect")</f>
        <v>0</v>
      </c>
      <c r="E20" s="40" t="b">
        <f xml:space="preserve"> [Direct Tests] + [Indirect Tests] &gt; 0</f>
        <v>0</v>
      </c>
    </row>
    <row r="21" spans="1:5">
      <c r="A21" t="s">
        <v>7</v>
      </c>
      <c r="B21" t="s">
        <v>90</v>
      </c>
      <c r="C21" s="40">
        <f xml:space="preserve"> COUNTIFS(Tests!$A:$A,[Function], Tests!$C:$C,"Direct")</f>
        <v>0</v>
      </c>
      <c r="D21" s="40">
        <f xml:space="preserve"> COUNTIFS(Tests!$A:$A,[Function], Tests!$C:$C,"Indirect")</f>
        <v>0</v>
      </c>
      <c r="E21" s="40" t="b">
        <f xml:space="preserve"> [Direct Tests] + [Indirect Tests] &gt; 0</f>
        <v>0</v>
      </c>
    </row>
    <row r="22" spans="1:5">
      <c r="A22" t="s">
        <v>7</v>
      </c>
      <c r="B22" t="s">
        <v>100</v>
      </c>
      <c r="C22" s="40">
        <f xml:space="preserve"> COUNTIFS(Tests!$A:$A,[Function], Tests!$C:$C,"Direct")</f>
        <v>0</v>
      </c>
      <c r="D22" s="40">
        <f xml:space="preserve"> COUNTIFS(Tests!$A:$A,[Function], Tests!$C:$C,"Indirect")</f>
        <v>0</v>
      </c>
      <c r="E22" s="40" t="b">
        <f xml:space="preserve"> [Direct Tests] + [Indirect Tests] &gt; 0</f>
        <v>0</v>
      </c>
    </row>
    <row r="23" spans="1:5">
      <c r="A23" t="s">
        <v>15</v>
      </c>
      <c r="B23" t="s">
        <v>17</v>
      </c>
      <c r="C23" s="40">
        <f xml:space="preserve"> COUNTIFS(Tests!$A:$A,[Function], Tests!$C:$C,"Direct")</f>
        <v>0</v>
      </c>
      <c r="D23" s="40">
        <f xml:space="preserve"> COUNTIFS(Tests!$A:$A,[Function], Tests!$C:$C,"Indirect")</f>
        <v>0</v>
      </c>
      <c r="E23" s="40" t="b">
        <f xml:space="preserve"> [Direct Tests] + [Indirect Tests] &gt; 0</f>
        <v>0</v>
      </c>
    </row>
    <row r="24" spans="1:5">
      <c r="A24" t="s">
        <v>15</v>
      </c>
      <c r="B24" t="s">
        <v>16</v>
      </c>
      <c r="C24" s="40">
        <f xml:space="preserve"> COUNTIFS(Tests!$A:$A,[Function], Tests!$C:$C,"Direct")</f>
        <v>0</v>
      </c>
      <c r="D24" s="40">
        <f xml:space="preserve"> COUNTIFS(Tests!$A:$A,[Function], Tests!$C:$C,"Indirect")</f>
        <v>0</v>
      </c>
      <c r="E24" s="40" t="b">
        <f xml:space="preserve"> [Direct Tests] + [Indirect Tests] &gt; 0</f>
        <v>0</v>
      </c>
    </row>
    <row r="25" spans="1:5">
      <c r="A25" t="s">
        <v>15</v>
      </c>
      <c r="B25" t="s">
        <v>229</v>
      </c>
      <c r="C25" s="40">
        <f xml:space="preserve"> COUNTIFS(Tests!$A:$A,[Function], Tests!$C:$C,"Direct")</f>
        <v>0</v>
      </c>
      <c r="D25" s="40">
        <f xml:space="preserve"> COUNTIFS(Tests!$A:$A,[Function], Tests!$C:$C,"Indirect")</f>
        <v>0</v>
      </c>
      <c r="E25" s="40" t="b">
        <f xml:space="preserve"> [Direct Tests] + [Indirect Tests] &gt; 0</f>
        <v>0</v>
      </c>
    </row>
    <row r="26" spans="1:5">
      <c r="A26" t="s">
        <v>15</v>
      </c>
      <c r="B26" t="s">
        <v>18</v>
      </c>
      <c r="C26" s="40">
        <f xml:space="preserve"> COUNTIFS(Tests!$A:$A,[Function], Tests!$C:$C,"Direct")</f>
        <v>0</v>
      </c>
      <c r="D26" s="40">
        <f xml:space="preserve"> COUNTIFS(Tests!$A:$A,[Function], Tests!$C:$C,"Indirect")</f>
        <v>0</v>
      </c>
      <c r="E26" s="40" t="b">
        <f xml:space="preserve"> [Direct Tests] + [Indirect Tests] &gt; 0</f>
        <v>0</v>
      </c>
    </row>
    <row r="27" spans="1:5">
      <c r="A27" t="s">
        <v>15</v>
      </c>
      <c r="B27" t="s">
        <v>19</v>
      </c>
      <c r="C27" s="40">
        <f xml:space="preserve"> COUNTIFS(Tests!$A:$A,[Function], Tests!$C:$C,"Direct")</f>
        <v>0</v>
      </c>
      <c r="D27" s="40">
        <f xml:space="preserve"> COUNTIFS(Tests!$A:$A,[Function], Tests!$C:$C,"Indirect")</f>
        <v>0</v>
      </c>
      <c r="E27" s="40" t="b">
        <f xml:space="preserve"> [Direct Tests] + [Indirect Tests] &gt; 0</f>
        <v>0</v>
      </c>
    </row>
    <row r="28" spans="1:5">
      <c r="A28" t="s">
        <v>15</v>
      </c>
      <c r="B28" t="s">
        <v>20</v>
      </c>
      <c r="C28" s="40">
        <f xml:space="preserve"> COUNTIFS(Tests!$A:$A,[Function], Tests!$C:$C,"Direct")</f>
        <v>0</v>
      </c>
      <c r="D28" s="40">
        <f xml:space="preserve"> COUNTIFS(Tests!$A:$A,[Function], Tests!$C:$C,"Indirect")</f>
        <v>0</v>
      </c>
      <c r="E28" s="40" t="b">
        <f xml:space="preserve"> [Direct Tests] + [Indirect Tests] &gt; 0</f>
        <v>0</v>
      </c>
    </row>
    <row r="29" spans="1:5">
      <c r="A29" t="s">
        <v>15</v>
      </c>
      <c r="B29" t="s">
        <v>21</v>
      </c>
      <c r="C29" s="40">
        <f xml:space="preserve"> COUNTIFS(Tests!$A:$A,[Function], Tests!$C:$C,"Direct")</f>
        <v>0</v>
      </c>
      <c r="D29" s="40">
        <f xml:space="preserve"> COUNTIFS(Tests!$A:$A,[Function], Tests!$C:$C,"Indirect")</f>
        <v>0</v>
      </c>
      <c r="E29" s="40" t="b">
        <f xml:space="preserve"> [Direct Tests] + [Indirect Tests] &gt; 0</f>
        <v>0</v>
      </c>
    </row>
    <row r="30" spans="1:5">
      <c r="A30" t="s">
        <v>15</v>
      </c>
      <c r="B30" t="s">
        <v>22</v>
      </c>
      <c r="C30" s="40">
        <f xml:space="preserve"> COUNTIFS(Tests!$A:$A,[Function], Tests!$C:$C,"Direct")</f>
        <v>0</v>
      </c>
      <c r="D30" s="40">
        <f xml:space="preserve"> COUNTIFS(Tests!$A:$A,[Function], Tests!$C:$C,"Indirect")</f>
        <v>0</v>
      </c>
      <c r="E30" s="40" t="b">
        <f xml:space="preserve"> [Direct Tests] + [Indirect Tests] &gt; 0</f>
        <v>0</v>
      </c>
    </row>
    <row r="31" spans="1:5">
      <c r="A31" t="s">
        <v>15</v>
      </c>
      <c r="B31" t="s">
        <v>23</v>
      </c>
      <c r="C31" s="40">
        <f xml:space="preserve"> COUNTIFS(Tests!$A:$A,[Function], Tests!$C:$C,"Direct")</f>
        <v>0</v>
      </c>
      <c r="D31" s="40">
        <f xml:space="preserve"> COUNTIFS(Tests!$A:$A,[Function], Tests!$C:$C,"Indirect")</f>
        <v>0</v>
      </c>
      <c r="E31" s="40" t="b">
        <f xml:space="preserve"> [Direct Tests] + [Indirect Tests] &gt; 0</f>
        <v>0</v>
      </c>
    </row>
    <row r="32" spans="1:5">
      <c r="A32" t="s">
        <v>15</v>
      </c>
      <c r="B32" t="s">
        <v>24</v>
      </c>
      <c r="C32" s="40">
        <f xml:space="preserve"> COUNTIFS(Tests!$A:$A,[Function], Tests!$C:$C,"Direct")</f>
        <v>0</v>
      </c>
      <c r="D32" s="40">
        <f xml:space="preserve"> COUNTIFS(Tests!$A:$A,[Function], Tests!$C:$C,"Indirect")</f>
        <v>0</v>
      </c>
      <c r="E32" s="40" t="b">
        <f xml:space="preserve"> [Direct Tests] + [Indirect Tests] &gt; 0</f>
        <v>0</v>
      </c>
    </row>
    <row r="33" spans="1:5">
      <c r="A33" t="s">
        <v>25</v>
      </c>
      <c r="B33" t="s">
        <v>26</v>
      </c>
      <c r="C33" s="40">
        <f xml:space="preserve"> COUNTIFS(Tests!$A:$A,[Function], Tests!$C:$C,"Direct")</f>
        <v>0</v>
      </c>
      <c r="D33" s="40">
        <f xml:space="preserve"> COUNTIFS(Tests!$A:$A,[Function], Tests!$C:$C,"Indirect")</f>
        <v>0</v>
      </c>
      <c r="E33" s="40" t="b">
        <f xml:space="preserve"> [Direct Tests] + [Indirect Tests] &gt; 0</f>
        <v>0</v>
      </c>
    </row>
    <row r="34" spans="1:5">
      <c r="A34" t="s">
        <v>25</v>
      </c>
      <c r="B34" t="s">
        <v>27</v>
      </c>
      <c r="C34" s="40">
        <f xml:space="preserve"> COUNTIFS(Tests!$A:$A,[Function], Tests!$C:$C,"Direct")</f>
        <v>0</v>
      </c>
      <c r="D34" s="40">
        <f xml:space="preserve"> COUNTIFS(Tests!$A:$A,[Function], Tests!$C:$C,"Indirect")</f>
        <v>0</v>
      </c>
      <c r="E34" s="40" t="b">
        <f xml:space="preserve"> [Direct Tests] + [Indirect Tests] &gt; 0</f>
        <v>0</v>
      </c>
    </row>
    <row r="35" spans="1:5">
      <c r="A35" t="s">
        <v>25</v>
      </c>
      <c r="B35" t="s">
        <v>63</v>
      </c>
      <c r="C35" s="40">
        <f xml:space="preserve"> COUNTIFS(Tests!$A:$A,[Function], Tests!$C:$C,"Direct")</f>
        <v>1</v>
      </c>
      <c r="D35" s="40">
        <f xml:space="preserve"> COUNTIFS(Tests!$A:$A,[Function], Tests!$C:$C,"Indirect")</f>
        <v>0</v>
      </c>
      <c r="E35" s="40" t="b">
        <f xml:space="preserve"> [Direct Tests] + [Indirect Tests] &gt; 0</f>
        <v>1</v>
      </c>
    </row>
    <row r="36" spans="1:5">
      <c r="A36" t="s">
        <v>25</v>
      </c>
      <c r="B36" t="s">
        <v>30</v>
      </c>
      <c r="C36" s="40">
        <f xml:space="preserve"> COUNTIFS(Tests!$A:$A,[Function], Tests!$C:$C,"Direct")</f>
        <v>0</v>
      </c>
      <c r="D36" s="40">
        <f xml:space="preserve"> COUNTIFS(Tests!$A:$A,[Function], Tests!$C:$C,"Indirect")</f>
        <v>0</v>
      </c>
      <c r="E36" s="40" t="b">
        <f xml:space="preserve"> [Direct Tests] + [Indirect Tests] &gt; 0</f>
        <v>0</v>
      </c>
    </row>
    <row r="37" spans="1:5">
      <c r="A37" t="s">
        <v>25</v>
      </c>
      <c r="B37" t="s">
        <v>50</v>
      </c>
      <c r="C37" s="40">
        <f xml:space="preserve"> COUNTIFS(Tests!$A:$A,[Function], Tests!$C:$C,"Direct")</f>
        <v>1</v>
      </c>
      <c r="D37" s="40">
        <f xml:space="preserve"> COUNTIFS(Tests!$A:$A,[Function], Tests!$C:$C,"Indirect")</f>
        <v>0</v>
      </c>
      <c r="E37" s="40" t="b">
        <f xml:space="preserve"> [Direct Tests] + [Indirect Tests] &gt; 0</f>
        <v>1</v>
      </c>
    </row>
    <row r="38" spans="1:5">
      <c r="A38" t="s">
        <v>25</v>
      </c>
      <c r="B38" t="s">
        <v>51</v>
      </c>
      <c r="C38" s="40">
        <f xml:space="preserve"> COUNTIFS(Tests!$A:$A,[Function], Tests!$C:$C,"Direct")</f>
        <v>2</v>
      </c>
      <c r="D38" s="40">
        <f xml:space="preserve"> COUNTIFS(Tests!$A:$A,[Function], Tests!$C:$C,"Indirect")</f>
        <v>0</v>
      </c>
      <c r="E38" s="40" t="b">
        <f xml:space="preserve"> [Direct Tests] + [Indirect Tests] &gt; 0</f>
        <v>1</v>
      </c>
    </row>
    <row r="39" spans="1:5">
      <c r="A39" t="s">
        <v>25</v>
      </c>
      <c r="B39" t="s">
        <v>28</v>
      </c>
      <c r="C39" s="40">
        <f xml:space="preserve"> COUNTIFS(Tests!$A:$A,[Function], Tests!$C:$C,"Direct")</f>
        <v>0</v>
      </c>
      <c r="D39" s="40">
        <f xml:space="preserve"> COUNTIFS(Tests!$A:$A,[Function], Tests!$C:$C,"Indirect")</f>
        <v>0</v>
      </c>
      <c r="E39" s="40" t="b">
        <f xml:space="preserve"> [Direct Tests] + [Indirect Tests] &gt; 0</f>
        <v>0</v>
      </c>
    </row>
    <row r="40" spans="1:5">
      <c r="A40" t="s">
        <v>25</v>
      </c>
      <c r="B40" t="s">
        <v>29</v>
      </c>
      <c r="C40" s="40">
        <f xml:space="preserve"> COUNTIFS(Tests!$A:$A,[Function], Tests!$C:$C,"Direct")</f>
        <v>0</v>
      </c>
      <c r="D40" s="40">
        <f xml:space="preserve"> COUNTIFS(Tests!$A:$A,[Function], Tests!$C:$C,"Indirect")</f>
        <v>0</v>
      </c>
      <c r="E40" s="40" t="b">
        <f xml:space="preserve"> [Direct Tests] + [Indirect Tests] &gt; 0</f>
        <v>0</v>
      </c>
    </row>
    <row r="41" spans="1:5">
      <c r="A41" t="s">
        <v>25</v>
      </c>
      <c r="B41" t="s">
        <v>158</v>
      </c>
      <c r="C41" s="40">
        <f xml:space="preserve"> COUNTIFS(Tests!$A:$A,[Function], Tests!$C:$C,"Direct")</f>
        <v>0</v>
      </c>
      <c r="D41" s="40">
        <f xml:space="preserve"> COUNTIFS(Tests!$A:$A,[Function], Tests!$C:$C,"Indirect")</f>
        <v>0</v>
      </c>
      <c r="E41" s="40" t="b">
        <f xml:space="preserve"> [Direct Tests] + [Indirect Tests] &gt; 0</f>
        <v>0</v>
      </c>
    </row>
    <row r="42" spans="1:5">
      <c r="A42" t="s">
        <v>31</v>
      </c>
      <c r="B42" t="s">
        <v>32</v>
      </c>
      <c r="C42" s="40">
        <f xml:space="preserve"> COUNTIFS(Tests!$A:$A,[Function], Tests!$C:$C,"Direct")</f>
        <v>0</v>
      </c>
      <c r="D42" s="40">
        <f xml:space="preserve"> COUNTIFS(Tests!$A:$A,[Function], Tests!$C:$C,"Indirect")</f>
        <v>0</v>
      </c>
      <c r="E42" s="40" t="b">
        <f xml:space="preserve"> [Direct Tests] + [Indirect Tests] &gt; 0</f>
        <v>0</v>
      </c>
    </row>
    <row r="43" spans="1:5">
      <c r="A43" t="s">
        <v>31</v>
      </c>
      <c r="B43" t="s">
        <v>33</v>
      </c>
      <c r="C43" s="40">
        <f xml:space="preserve"> COUNTIFS(Tests!$A:$A,[Function], Tests!$C:$C,"Direct")</f>
        <v>0</v>
      </c>
      <c r="D43" s="40">
        <f xml:space="preserve"> COUNTIFS(Tests!$A:$A,[Function], Tests!$C:$C,"Indirect")</f>
        <v>0</v>
      </c>
      <c r="E43" s="40" t="b">
        <f xml:space="preserve"> [Direct Tests] + [Indirect Tests] &gt; 0</f>
        <v>0</v>
      </c>
    </row>
    <row r="44" spans="1:5">
      <c r="A44" t="s">
        <v>31</v>
      </c>
      <c r="B44" t="s">
        <v>34</v>
      </c>
      <c r="C44" s="40">
        <f xml:space="preserve"> COUNTIFS(Tests!$A:$A,[Function], Tests!$C:$C,"Direct")</f>
        <v>0</v>
      </c>
      <c r="D44" s="40">
        <f xml:space="preserve"> COUNTIFS(Tests!$A:$A,[Function], Tests!$C:$C,"Indirect")</f>
        <v>0</v>
      </c>
      <c r="E44" s="40" t="b">
        <f xml:space="preserve"> [Direct Tests] + [Indirect Tests] &gt; 0</f>
        <v>0</v>
      </c>
    </row>
    <row r="45" spans="1:5">
      <c r="A45" t="s">
        <v>31</v>
      </c>
      <c r="B45" t="s">
        <v>35</v>
      </c>
      <c r="C45" s="40">
        <f xml:space="preserve"> COUNTIFS(Tests!$A:$A,[Function], Tests!$C:$C,"Direct")</f>
        <v>0</v>
      </c>
      <c r="D45" s="40">
        <f xml:space="preserve"> COUNTIFS(Tests!$A:$A,[Function], Tests!$C:$C,"Indirect")</f>
        <v>0</v>
      </c>
      <c r="E45" s="40" t="b">
        <f xml:space="preserve"> [Direct Tests] + [Indirect Tests] &gt; 0</f>
        <v>0</v>
      </c>
    </row>
    <row r="46" spans="1:5">
      <c r="A46" t="s">
        <v>31</v>
      </c>
      <c r="B46" t="s">
        <v>36</v>
      </c>
      <c r="C46" s="40">
        <f xml:space="preserve"> COUNTIFS(Tests!$A:$A,[Function], Tests!$C:$C,"Direct")</f>
        <v>0</v>
      </c>
      <c r="D46" s="40">
        <f xml:space="preserve"> COUNTIFS(Tests!$A:$A,[Function], Tests!$C:$C,"Indirect")</f>
        <v>0</v>
      </c>
      <c r="E46" s="40" t="b">
        <f xml:space="preserve"> [Direct Tests] + [Indirect Tests] &gt; 0</f>
        <v>0</v>
      </c>
    </row>
    <row r="47" spans="1:5">
      <c r="A47" t="s">
        <v>31</v>
      </c>
      <c r="B47" t="s">
        <v>37</v>
      </c>
      <c r="C47" s="40">
        <f xml:space="preserve"> COUNTIFS(Tests!$A:$A,[Function], Tests!$C:$C,"Direct")</f>
        <v>0</v>
      </c>
      <c r="D47" s="40">
        <f xml:space="preserve"> COUNTIFS(Tests!$A:$A,[Function], Tests!$C:$C,"Indirect")</f>
        <v>0</v>
      </c>
      <c r="E47" s="40" t="b">
        <f xml:space="preserve"> [Direct Tests] + [Indirect Tests] &gt; 0</f>
        <v>0</v>
      </c>
    </row>
    <row r="48" spans="1:5">
      <c r="A48" t="s">
        <v>38</v>
      </c>
      <c r="B48" t="s">
        <v>39</v>
      </c>
      <c r="C48" s="40">
        <f xml:space="preserve"> COUNTIFS(Tests!$A:$A,[Function], Tests!$C:$C,"Direct")</f>
        <v>0</v>
      </c>
      <c r="D48" s="40">
        <f xml:space="preserve"> COUNTIFS(Tests!$A:$A,[Function], Tests!$C:$C,"Indirect")</f>
        <v>0</v>
      </c>
      <c r="E48" s="40" t="b">
        <f xml:space="preserve"> [Direct Tests] + [Indirect Tests] &gt; 0</f>
        <v>0</v>
      </c>
    </row>
    <row r="49" spans="1:5">
      <c r="A49" t="s">
        <v>38</v>
      </c>
      <c r="B49" t="s">
        <v>40</v>
      </c>
      <c r="C49" s="40">
        <f xml:space="preserve"> COUNTIFS(Tests!$A:$A,[Function], Tests!$C:$C,"Direct")</f>
        <v>0</v>
      </c>
      <c r="D49" s="40">
        <f xml:space="preserve"> COUNTIFS(Tests!$A:$A,[Function], Tests!$C:$C,"Indirect")</f>
        <v>0</v>
      </c>
      <c r="E49" s="40" t="b">
        <f xml:space="preserve"> [Direct Tests] + [Indirect Tests] &gt; 0</f>
        <v>0</v>
      </c>
    </row>
    <row r="50" spans="1:5">
      <c r="A50" t="s">
        <v>38</v>
      </c>
      <c r="B50" t="s">
        <v>41</v>
      </c>
      <c r="C50" s="40">
        <f xml:space="preserve"> COUNTIFS(Tests!$A:$A,[Function], Tests!$C:$C,"Direct")</f>
        <v>0</v>
      </c>
      <c r="D50" s="40">
        <f xml:space="preserve"> COUNTIFS(Tests!$A:$A,[Function], Tests!$C:$C,"Indirect")</f>
        <v>0</v>
      </c>
      <c r="E50" s="40" t="b">
        <f xml:space="preserve"> [Direct Tests] + [Indirect Tests] &gt; 0</f>
        <v>0</v>
      </c>
    </row>
    <row r="51" spans="1:5">
      <c r="A51" t="s">
        <v>38</v>
      </c>
      <c r="B51" t="s">
        <v>42</v>
      </c>
      <c r="C51" s="40">
        <f xml:space="preserve"> COUNTIFS(Tests!$A:$A,[Function], Tests!$C:$C,"Direct")</f>
        <v>0</v>
      </c>
      <c r="D51" s="40">
        <f xml:space="preserve"> COUNTIFS(Tests!$A:$A,[Function], Tests!$C:$C,"Indirect")</f>
        <v>0</v>
      </c>
      <c r="E51" s="40" t="b">
        <f xml:space="preserve"> [Direct Tests] + [Indirect Tests] &gt; 0</f>
        <v>0</v>
      </c>
    </row>
    <row r="52" spans="1:5">
      <c r="A52" t="s">
        <v>43</v>
      </c>
      <c r="B52" t="s">
        <v>91</v>
      </c>
      <c r="C52" s="40">
        <f xml:space="preserve"> COUNTIFS(Tests!$A:$A,[Function], Tests!$C:$C,"Direct")</f>
        <v>0</v>
      </c>
      <c r="D52" s="40">
        <f xml:space="preserve"> COUNTIFS(Tests!$A:$A,[Function], Tests!$C:$C,"Indirect")</f>
        <v>0</v>
      </c>
      <c r="E52" s="40" t="b">
        <f xml:space="preserve"> [Direct Tests] + [Indirect Tests] &gt; 0</f>
        <v>0</v>
      </c>
    </row>
    <row r="53" spans="1:5">
      <c r="A53" t="s">
        <v>43</v>
      </c>
      <c r="B53" t="s">
        <v>92</v>
      </c>
      <c r="C53" s="40">
        <f xml:space="preserve"> COUNTIFS(Tests!$A:$A,[Function], Tests!$C:$C,"Direct")</f>
        <v>0</v>
      </c>
      <c r="D53" s="40">
        <f xml:space="preserve"> COUNTIFS(Tests!$A:$A,[Function], Tests!$C:$C,"Indirect")</f>
        <v>0</v>
      </c>
      <c r="E53" s="40" t="b">
        <f xml:space="preserve"> [Direct Tests] + [Indirect Tests] &gt; 0</f>
        <v>0</v>
      </c>
    </row>
    <row r="54" spans="1:5">
      <c r="A54" t="s">
        <v>43</v>
      </c>
      <c r="B54" t="s">
        <v>93</v>
      </c>
      <c r="C54" s="40">
        <f xml:space="preserve"> COUNTIFS(Tests!$A:$A,[Function], Tests!$C:$C,"Direct")</f>
        <v>0</v>
      </c>
      <c r="D54" s="40">
        <f xml:space="preserve"> COUNTIFS(Tests!$A:$A,[Function], Tests!$C:$C,"Indirect")</f>
        <v>0</v>
      </c>
      <c r="E54" s="40" t="b">
        <f xml:space="preserve"> [Direct Tests] + [Indirect Tests] &gt; 0</f>
        <v>0</v>
      </c>
    </row>
    <row r="55" spans="1:5">
      <c r="A55" t="s">
        <v>43</v>
      </c>
      <c r="B55" t="s">
        <v>94</v>
      </c>
      <c r="C55" s="40">
        <f xml:space="preserve"> COUNTIFS(Tests!$A:$A,[Function], Tests!$C:$C,"Direct")</f>
        <v>0</v>
      </c>
      <c r="D55" s="40">
        <f xml:space="preserve"> COUNTIFS(Tests!$A:$A,[Function], Tests!$C:$C,"Indirect")</f>
        <v>1</v>
      </c>
      <c r="E55" s="40" t="b">
        <f xml:space="preserve"> [Direct Tests] + [Indirect Tests] &gt; 0</f>
        <v>1</v>
      </c>
    </row>
    <row r="56" spans="1:5">
      <c r="A56" t="s">
        <v>43</v>
      </c>
      <c r="B56" t="s">
        <v>95</v>
      </c>
      <c r="C56" s="40">
        <f xml:space="preserve"> COUNTIFS(Tests!$A:$A,[Function], Tests!$C:$C,"Direct")</f>
        <v>0</v>
      </c>
      <c r="D56" s="40">
        <f xml:space="preserve"> COUNTIFS(Tests!$A:$A,[Function], Tests!$C:$C,"Indirect")</f>
        <v>0</v>
      </c>
      <c r="E56" s="40" t="b">
        <f xml:space="preserve"> [Direct Tests] + [Indirect Tests] &gt; 0</f>
        <v>0</v>
      </c>
    </row>
    <row r="57" spans="1:5">
      <c r="A57" s="16" t="s">
        <v>43</v>
      </c>
      <c r="B57" s="16" t="s">
        <v>53</v>
      </c>
      <c r="C57" s="41">
        <f xml:space="preserve"> COUNTIFS(Tests!$A:$A,[Function], Tests!$C:$C,"Direct")</f>
        <v>0</v>
      </c>
      <c r="D57" s="41">
        <f xml:space="preserve"> COUNTIFS(Tests!$A:$A,[Function], Tests!$C:$C,"Indirect")</f>
        <v>1</v>
      </c>
      <c r="E57" s="41" t="b">
        <f xml:space="preserve"> [Direct Tests] + [Indirect Tests] &gt; 0</f>
        <v>1</v>
      </c>
    </row>
    <row r="58" spans="1:5">
      <c r="A58" s="16" t="s">
        <v>43</v>
      </c>
      <c r="B58" s="16" t="s">
        <v>96</v>
      </c>
      <c r="C58" s="41">
        <f xml:space="preserve"> COUNTIFS(Tests!$A:$A,[Function], Tests!$C:$C,"Direct")</f>
        <v>0</v>
      </c>
      <c r="D58" s="41">
        <f xml:space="preserve"> COUNTIFS(Tests!$A:$A,[Function], Tests!$C:$C,"Indirect")</f>
        <v>0</v>
      </c>
      <c r="E58" s="41" t="b">
        <f xml:space="preserve"> [Direct Tests] + [Indirect Tests] &gt; 0</f>
        <v>0</v>
      </c>
    </row>
    <row r="59" spans="1:5">
      <c r="A59" s="16" t="s">
        <v>43</v>
      </c>
      <c r="B59" s="16" t="s">
        <v>97</v>
      </c>
      <c r="C59" s="41">
        <f xml:space="preserve"> COUNTIFS(Tests!$A:$A,[Function], Tests!$C:$C,"Direct")</f>
        <v>0</v>
      </c>
      <c r="D59" s="41">
        <f xml:space="preserve"> COUNTIFS(Tests!$A:$A,[Function], Tests!$C:$C,"Indirect")</f>
        <v>0</v>
      </c>
      <c r="E59" s="41" t="b">
        <f xml:space="preserve"> [Direct Tests] + [Indirect Tests] &gt; 0</f>
        <v>0</v>
      </c>
    </row>
    <row r="60" spans="1:5">
      <c r="A60" t="s">
        <v>43</v>
      </c>
      <c r="B60" t="s">
        <v>98</v>
      </c>
      <c r="C60" s="40">
        <f xml:space="preserve"> COUNTIFS(Tests!$A:$A,[Function], Tests!$C:$C,"Direct")</f>
        <v>0</v>
      </c>
      <c r="D60" s="40">
        <f xml:space="preserve"> COUNTIFS(Tests!$A:$A,[Function], Tests!$C:$C,"Indirect")</f>
        <v>0</v>
      </c>
      <c r="E60" s="40" t="b">
        <f xml:space="preserve"> [Direct Tests] + [Indirect Tests] &gt; 0</f>
        <v>0</v>
      </c>
    </row>
    <row r="61" spans="1:5">
      <c r="A61" s="16" t="s">
        <v>43</v>
      </c>
      <c r="B61" s="16" t="s">
        <v>99</v>
      </c>
      <c r="C61" s="41">
        <f xml:space="preserve"> COUNTIFS(Tests!$A:$A,[Function], Tests!$C:$C,"Direct")</f>
        <v>0</v>
      </c>
      <c r="D61" s="41">
        <f xml:space="preserve"> COUNTIFS(Tests!$A:$A,[Function], Tests!$C:$C,"Indirect")</f>
        <v>0</v>
      </c>
      <c r="E61" s="41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8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Tests</vt:lpstr>
      <vt:lpstr>Coverage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2013-03-13T21:23:04Z</dcterms:modified>
</cp:coreProperties>
</file>