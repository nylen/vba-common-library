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20" windowWidth="20610" windowHeight="11640"/>
  </bookViews>
  <sheets>
    <sheet name="Tests" sheetId="4" r:id="rId1"/>
    <sheet name="Coverage" sheetId="3" r:id="rId2"/>
  </sheets>
  <functionGroups/>
  <definedNames>
    <definedName name="FunctionsCovered">Coverage!$H$2</definedName>
    <definedName name="FunctionsNotCovered">Coverage!$H$3</definedName>
    <definedName name="MaxTestRow">Tests!$H$3</definedName>
    <definedName name="NumTestsFailing">Tests!$H$5</definedName>
    <definedName name="NumTestsPassing">Tests!$H$4</definedName>
    <definedName name="TestCategories">Tests!$E:$E</definedName>
    <definedName name="TestNames">Tests!$F:$F</definedName>
    <definedName name="TestResults">Tests!$I:$I</definedName>
    <definedName name="TotalTests">Tests!$H$2</definedName>
  </definedNames>
  <calcPr calcId="125725" concurrentManualCount="3"/>
</workbook>
</file>

<file path=xl/calcChain.xml><?xml version="1.0" encoding="utf-8"?>
<calcChain xmlns="http://schemas.openxmlformats.org/spreadsheetml/2006/main">
  <c r="C58" i="3"/>
  <c r="D58"/>
  <c r="C51"/>
  <c r="C52"/>
  <c r="C53"/>
  <c r="C54"/>
  <c r="C55"/>
  <c r="C56"/>
  <c r="C57"/>
  <c r="D51"/>
  <c r="E51" s="1"/>
  <c r="D52"/>
  <c r="D53"/>
  <c r="E53" s="1"/>
  <c r="D54"/>
  <c r="E54" s="1"/>
  <c r="D55"/>
  <c r="E55" s="1"/>
  <c r="D56"/>
  <c r="E56" s="1"/>
  <c r="D57"/>
  <c r="E57" s="1"/>
  <c r="E52"/>
  <c r="B33" i="4"/>
  <c r="B27"/>
  <c r="B10"/>
  <c r="B11"/>
  <c r="B12"/>
  <c r="B13"/>
  <c r="B14"/>
  <c r="B15"/>
  <c r="B16"/>
  <c r="B17"/>
  <c r="B18"/>
  <c r="B9"/>
  <c r="G34"/>
  <c r="G30"/>
  <c r="G29"/>
  <c r="G31"/>
  <c r="G35"/>
  <c r="G33"/>
  <c r="E58" i="3" l="1"/>
  <c r="I33" i="4"/>
  <c r="I34"/>
  <c r="I35"/>
  <c r="I31"/>
  <c r="D2" i="3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C2"/>
  <c r="E2" s="1"/>
  <c r="C3"/>
  <c r="E3" s="1"/>
  <c r="C4"/>
  <c r="C5"/>
  <c r="E5" s="1"/>
  <c r="C6"/>
  <c r="E6" s="1"/>
  <c r="C7"/>
  <c r="C8"/>
  <c r="E8" s="1"/>
  <c r="C9"/>
  <c r="E9" s="1"/>
  <c r="C10"/>
  <c r="C11"/>
  <c r="E11" s="1"/>
  <c r="C12"/>
  <c r="E12" s="1"/>
  <c r="C13"/>
  <c r="C14"/>
  <c r="E14" s="1"/>
  <c r="C15"/>
  <c r="E15" s="1"/>
  <c r="C16"/>
  <c r="C17"/>
  <c r="E17" s="1"/>
  <c r="C18"/>
  <c r="E18" s="1"/>
  <c r="C19"/>
  <c r="C20"/>
  <c r="E20" s="1"/>
  <c r="C21"/>
  <c r="E21" s="1"/>
  <c r="C22"/>
  <c r="C23"/>
  <c r="E23" s="1"/>
  <c r="C24"/>
  <c r="E24" s="1"/>
  <c r="C25"/>
  <c r="C26"/>
  <c r="E26" s="1"/>
  <c r="C27"/>
  <c r="E27" s="1"/>
  <c r="C28"/>
  <c r="C29"/>
  <c r="E29" s="1"/>
  <c r="C30"/>
  <c r="E30" s="1"/>
  <c r="C31"/>
  <c r="C32"/>
  <c r="E32" s="1"/>
  <c r="C33"/>
  <c r="E33" s="1"/>
  <c r="C34"/>
  <c r="C35"/>
  <c r="E35" s="1"/>
  <c r="C36"/>
  <c r="E36" s="1"/>
  <c r="C37"/>
  <c r="C38"/>
  <c r="E38" s="1"/>
  <c r="C39"/>
  <c r="E39" s="1"/>
  <c r="C40"/>
  <c r="C41"/>
  <c r="E41" s="1"/>
  <c r="C42"/>
  <c r="E42" s="1"/>
  <c r="C43"/>
  <c r="C44"/>
  <c r="E44" s="1"/>
  <c r="C45"/>
  <c r="E45" s="1"/>
  <c r="C46"/>
  <c r="C47"/>
  <c r="E47" s="1"/>
  <c r="C48"/>
  <c r="E48" s="1"/>
  <c r="C49"/>
  <c r="C50"/>
  <c r="E50" s="1"/>
  <c r="N24" i="4" a="1"/>
  <c r="N7" a="1"/>
  <c r="G18"/>
  <c r="G11"/>
  <c r="P12" a="1"/>
  <c r="G27"/>
  <c r="G12"/>
  <c r="L19" a="1"/>
  <c r="G28"/>
  <c r="G17"/>
  <c r="O24" l="1"/>
  <c r="R24"/>
  <c r="N24"/>
  <c r="Q24"/>
  <c r="P24"/>
  <c r="S24"/>
  <c r="L20"/>
  <c r="L23"/>
  <c r="L19"/>
  <c r="L22"/>
  <c r="L21"/>
  <c r="L24"/>
  <c r="Q12"/>
  <c r="T12"/>
  <c r="S12"/>
  <c r="R12"/>
  <c r="U12"/>
  <c r="P12"/>
  <c r="N8"/>
  <c r="N11"/>
  <c r="N7"/>
  <c r="N10"/>
  <c r="N9"/>
  <c r="N12"/>
  <c r="E49" i="3"/>
  <c r="E46"/>
  <c r="E43"/>
  <c r="E40"/>
  <c r="E37"/>
  <c r="E34"/>
  <c r="E31"/>
  <c r="E28"/>
  <c r="E25"/>
  <c r="E22"/>
  <c r="E19"/>
  <c r="E16"/>
  <c r="E13"/>
  <c r="E10"/>
  <c r="E7"/>
  <c r="E4"/>
  <c r="I17" i="4"/>
  <c r="I27"/>
  <c r="I30"/>
  <c r="I18"/>
  <c r="I29"/>
  <c r="I28"/>
  <c r="I11"/>
  <c r="I12"/>
  <c r="G15"/>
  <c r="H2" i="3" l="1"/>
  <c r="H3"/>
  <c r="I15" i="4"/>
  <c r="G16"/>
  <c r="I16" l="1"/>
  <c r="G10"/>
  <c r="I10" l="1"/>
  <c r="G9"/>
  <c r="I9" l="1"/>
  <c r="H5" l="1"/>
  <c r="H4"/>
  <c r="H3" a="1"/>
  <c r="H3" s="1"/>
  <c r="H2" l="1"/>
</calcChain>
</file>

<file path=xl/sharedStrings.xml><?xml version="1.0" encoding="utf-8"?>
<sst xmlns="http://schemas.openxmlformats.org/spreadsheetml/2006/main" count="213" uniqueCount="110">
  <si>
    <t>Module</t>
  </si>
  <si>
    <t>Function</t>
  </si>
  <si>
    <t>ArrayUtils</t>
  </si>
  <si>
    <t>NormalizeArray</t>
  </si>
  <si>
    <t>Rank</t>
  </si>
  <si>
    <t>ArrayLen</t>
  </si>
  <si>
    <t>Test</t>
  </si>
  <si>
    <t>Expected</t>
  </si>
  <si>
    <t>ExcelUtils</t>
  </si>
  <si>
    <t>IsWorkbookOpen</t>
  </si>
  <si>
    <t>SheetExists</t>
  </si>
  <si>
    <t>ExcelCol</t>
  </si>
  <si>
    <t>ExcelColNum</t>
  </si>
  <si>
    <t>CellReference</t>
  </si>
  <si>
    <t>ExcelErrorType</t>
  </si>
  <si>
    <t>ShowStatusMessage</t>
  </si>
  <si>
    <t>FileUtils</t>
  </si>
  <si>
    <t>FolderExists</t>
  </si>
  <si>
    <t>FileExists</t>
  </si>
  <si>
    <t>CombinePaths</t>
  </si>
  <si>
    <t>NormalizePath</t>
  </si>
  <si>
    <t>GetDirectoryName</t>
  </si>
  <si>
    <t>GetFilename</t>
  </si>
  <si>
    <t>ListFiles</t>
  </si>
  <si>
    <t>ListFolders</t>
  </si>
  <si>
    <t>GetTempPath</t>
  </si>
  <si>
    <t>FormulaFunctions</t>
  </si>
  <si>
    <t>ArrayElement</t>
  </si>
  <si>
    <t>StringSplit</t>
  </si>
  <si>
    <t>ColumnWidth</t>
  </si>
  <si>
    <t>RowHeight</t>
  </si>
  <si>
    <t>NewLine</t>
  </si>
  <si>
    <t>StringUtils</t>
  </si>
  <si>
    <t>StartsWith</t>
  </si>
  <si>
    <t>EndsWith</t>
  </si>
  <si>
    <t>SplitTrim</t>
  </si>
  <si>
    <t>TrimChars</t>
  </si>
  <si>
    <t>TrimLeadingChars</t>
  </si>
  <si>
    <t>TrimTrailingChars</t>
  </si>
  <si>
    <t>VBAUtils</t>
  </si>
  <si>
    <t>ModuleExists</t>
  </si>
  <si>
    <t>RemoveModule</t>
  </si>
  <si>
    <t>ExportModule</t>
  </si>
  <si>
    <t>ImportModule</t>
  </si>
  <si>
    <t>List</t>
  </si>
  <si>
    <t>a</t>
  </si>
  <si>
    <t>b</t>
  </si>
  <si>
    <t>c</t>
  </si>
  <si>
    <t>SortArrayInPlace</t>
  </si>
  <si>
    <t>SortArray</t>
  </si>
  <si>
    <t>GetUniqueItems</t>
  </si>
  <si>
    <t>GetArrayForFormula</t>
  </si>
  <si>
    <t>RangeToArray</t>
  </si>
  <si>
    <t>Direct</t>
  </si>
  <si>
    <t>Vertical list of items</t>
  </si>
  <si>
    <t>Vertical unique items from vertical list</t>
  </si>
  <si>
    <t>Horizontal unique items from vertical list</t>
  </si>
  <si>
    <t>Horizontal list of items</t>
  </si>
  <si>
    <t>Vertical unique items from horizontal list</t>
  </si>
  <si>
    <t>Horizontal unique items from horizontal list</t>
  </si>
  <si>
    <t>List.Add</t>
  </si>
  <si>
    <t>x</t>
  </si>
  <si>
    <t>Direct/Indirect Test</t>
  </si>
  <si>
    <t>Indirect</t>
  </si>
  <si>
    <t>Actual</t>
  </si>
  <si>
    <t>Category</t>
  </si>
  <si>
    <t>1,2,3,a,b,c</t>
  </si>
  <si>
    <t>Passing:</t>
  </si>
  <si>
    <t>Failing:</t>
  </si>
  <si>
    <t>Result</t>
  </si>
  <si>
    <t>To vertical range, then to string</t>
  </si>
  <si>
    <t>To horizontal range, then to string</t>
  </si>
  <si>
    <t>StringJoin</t>
  </si>
  <si>
    <t>To array, then to string</t>
  </si>
  <si>
    <t>To array, then get count</t>
  </si>
  <si>
    <t>Unique items, vertical range</t>
  </si>
  <si>
    <t>Unique items, horizontal range</t>
  </si>
  <si>
    <t>1,2,a,b,c,x</t>
  </si>
  <si>
    <t>Good sheet 1</t>
  </si>
  <si>
    <t>Good sheet 2</t>
  </si>
  <si>
    <t>Bad sheet 1</t>
  </si>
  <si>
    <t>Direct Tests</t>
  </si>
  <si>
    <t>Indirect Tests</t>
  </si>
  <si>
    <t>Covered</t>
  </si>
  <si>
    <t>Functions covered:</t>
  </si>
  <si>
    <t>Functions not covered:</t>
  </si>
  <si>
    <t>Total tests:</t>
  </si>
  <si>
    <t>Max row:</t>
  </si>
  <si>
    <t>Bad sheet 2</t>
  </si>
  <si>
    <t>Open workbook</t>
  </si>
  <si>
    <t>Closed workbook</t>
  </si>
  <si>
    <t>Bad workbook 1</t>
  </si>
  <si>
    <t>Nonexistent sheet</t>
  </si>
  <si>
    <t>Valid?</t>
  </si>
  <si>
    <t>DeleteSheetByName</t>
  </si>
  <si>
    <t>DeleteSheet</t>
  </si>
  <si>
    <t>DeleteSheets</t>
  </si>
  <si>
    <t>GetRealUsedRange</t>
  </si>
  <si>
    <t>ClearStatusMessage</t>
  </si>
  <si>
    <t>SendMessageToListener</t>
  </si>
  <si>
    <t>get List.Count</t>
  </si>
  <si>
    <t>set List.Item</t>
  </si>
  <si>
    <t>get List.Item</t>
  </si>
  <si>
    <t>get List.Items</t>
  </si>
  <si>
    <t>List.Clear</t>
  </si>
  <si>
    <t>List.AddOnce</t>
  </si>
  <si>
    <t>List.AddRange</t>
  </si>
  <si>
    <t>List.AddRangeOnce</t>
  </si>
  <si>
    <t>List.Contains</t>
  </si>
  <si>
    <t>GetCornerCell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</si>
</sst>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0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 applyBorder="1"/>
    <xf numFmtId="0" fontId="1" fillId="2" borderId="10" xfId="0" applyFont="1" applyFill="1" applyBorder="1" applyAlignment="1">
      <alignment horizontal="right"/>
    </xf>
    <xf numFmtId="0" fontId="0" fillId="2" borderId="12" xfId="0" applyFill="1" applyBorder="1" applyAlignment="1">
      <alignment horizontal="left"/>
    </xf>
    <xf numFmtId="0" fontId="1" fillId="2" borderId="15" xfId="0" applyFont="1" applyFill="1" applyBorder="1" applyAlignment="1">
      <alignment horizontal="right"/>
    </xf>
    <xf numFmtId="0" fontId="0" fillId="2" borderId="17" xfId="0" applyFill="1" applyBorder="1" applyAlignment="1">
      <alignment horizontal="left"/>
    </xf>
    <xf numFmtId="0" fontId="0" fillId="0" borderId="0" xfId="0" applyNumberFormat="1"/>
    <xf numFmtId="0" fontId="1" fillId="2" borderId="13" xfId="0" applyFont="1" applyFill="1" applyBorder="1" applyAlignment="1">
      <alignment horizontal="right"/>
    </xf>
    <xf numFmtId="0" fontId="0" fillId="2" borderId="14" xfId="0" applyFill="1" applyBorder="1" applyAlignment="1">
      <alignment horizontal="left"/>
    </xf>
    <xf numFmtId="0" fontId="1" fillId="2" borderId="18" xfId="0" applyFont="1" applyFill="1" applyBorder="1" applyAlignment="1">
      <alignment horizontal="right"/>
    </xf>
    <xf numFmtId="0" fontId="0" fillId="2" borderId="19" xfId="0" applyFill="1" applyBorder="1" applyAlignment="1">
      <alignment horizontal="left"/>
    </xf>
    <xf numFmtId="0" fontId="0" fillId="0" borderId="0" xfId="0" applyNumberFormat="1" applyBorder="1"/>
  </cellXfs>
  <cellStyles count="1">
    <cellStyle name="Normal" xfId="0" builtinId="0"/>
  </cellStyles>
  <dxfs count="8"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008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</dxfs>
  <tableStyles count="0" defaultTableStyle="TableStyleMedium9" defaultPivotStyle="PivotStyleLight16"/>
  <colors>
    <mruColors>
      <color rgb="FFFFCCCC"/>
      <color rgb="FFFFFFCC"/>
      <color rgb="FF008000"/>
      <color rgb="FF006600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blCoverage" displayName="TblCoverage" ref="A1:E58" totalsRowShown="0" headerRowDxfId="3">
  <autoFilter ref="A1:E58">
    <filterColumn colId="4"/>
  </autoFilter>
  <tableColumns count="5">
    <tableColumn id="1" name="Module"/>
    <tableColumn id="2" name="Function"/>
    <tableColumn id="3" name="Direct Tests" dataDxfId="2">
      <calculatedColumnFormula xml:space="preserve"> COUNTIFS(Tests!$A:$A,[Function], Tests!$C:$C,"Direct")</calculatedColumnFormula>
    </tableColumn>
    <tableColumn id="4" name="Indirect Tests" dataDxfId="1">
      <calculatedColumnFormula xml:space="preserve"> COUNTIFS(Tests!$A:$A,[Function], Tests!$C:$C,"Indirect")</calculatedColumnFormula>
    </tableColumn>
    <tableColumn id="6" name="Covered" dataDxfId="0">
      <calculatedColumnFormula xml:space="preserve"> [Direct Tests] + [Indirect Tests] &gt; 0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35"/>
  <sheetViews>
    <sheetView tabSelected="1" workbookViewId="0"/>
  </sheetViews>
  <sheetFormatPr defaultRowHeight="15"/>
  <cols>
    <col min="1" max="1" width="23" customWidth="1"/>
    <col min="2" max="2" width="9" customWidth="1"/>
    <col min="3" max="3" width="18.42578125" bestFit="1" customWidth="1"/>
    <col min="5" max="5" width="28.85546875" bestFit="1" customWidth="1"/>
    <col min="6" max="6" width="31.5703125" bestFit="1" customWidth="1"/>
    <col min="7" max="7" width="11.140625" customWidth="1"/>
    <col min="8" max="8" width="11.5703125" customWidth="1"/>
    <col min="9" max="9" width="9.140625" style="2"/>
    <col min="11" max="25" width="4.42578125" customWidth="1"/>
  </cols>
  <sheetData>
    <row r="1" spans="1:26" ht="15.75" thickBot="1">
      <c r="A1" s="1"/>
      <c r="B1" s="1"/>
    </row>
    <row r="2" spans="1:26">
      <c r="A2" s="1"/>
      <c r="B2" s="1"/>
      <c r="G2" s="36" t="s">
        <v>86</v>
      </c>
      <c r="H2" s="37">
        <f xml:space="preserve"> NumTestsPassing + NumTestsFailing</f>
        <v>16</v>
      </c>
      <c r="K2" s="12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4"/>
    </row>
    <row r="3" spans="1:26">
      <c r="A3" s="1"/>
      <c r="B3" s="1"/>
      <c r="G3" s="43" t="s">
        <v>87</v>
      </c>
      <c r="H3" s="44">
        <f t="array" ref="H3" xml:space="preserve"> MAX(IF(ISBLANK(TestResults), 0, ROW(TestResults)))</f>
        <v>35</v>
      </c>
      <c r="K3" s="15"/>
      <c r="L3" s="28" t="s">
        <v>54</v>
      </c>
      <c r="M3" s="29"/>
      <c r="N3" s="29"/>
      <c r="O3" s="29"/>
      <c r="P3" s="30"/>
      <c r="Q3" s="16"/>
      <c r="R3" s="16"/>
      <c r="S3" s="16"/>
      <c r="T3" s="16"/>
      <c r="U3" s="16"/>
      <c r="V3" s="16"/>
      <c r="W3" s="16"/>
      <c r="X3" s="16"/>
      <c r="Y3" s="17"/>
    </row>
    <row r="4" spans="1:26">
      <c r="D4" s="1"/>
      <c r="G4" s="41" t="s">
        <v>67</v>
      </c>
      <c r="H4" s="42">
        <f xml:space="preserve"> COUNTIF(TestResults, "PASS")</f>
        <v>16</v>
      </c>
      <c r="J4" s="1"/>
      <c r="K4" s="15"/>
      <c r="L4" s="31">
        <v>1</v>
      </c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7"/>
    </row>
    <row r="5" spans="1:26" ht="15.75" thickBot="1">
      <c r="G5" s="38" t="s">
        <v>68</v>
      </c>
      <c r="H5" s="39">
        <f xml:space="preserve"> COUNTIF(TestResults, "FAIL")</f>
        <v>0</v>
      </c>
      <c r="K5" s="15"/>
      <c r="L5" s="32">
        <v>2</v>
      </c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7"/>
    </row>
    <row r="6" spans="1:26">
      <c r="K6" s="15"/>
      <c r="L6" s="32">
        <v>2</v>
      </c>
      <c r="M6" s="16"/>
      <c r="N6" s="3" t="s">
        <v>55</v>
      </c>
      <c r="O6" s="4"/>
      <c r="P6" s="4"/>
      <c r="Q6" s="4"/>
      <c r="R6" s="4"/>
      <c r="S6" s="4"/>
      <c r="T6" s="4"/>
      <c r="U6" s="5"/>
      <c r="V6" s="16"/>
      <c r="W6" s="16"/>
      <c r="X6" s="16"/>
      <c r="Y6" s="17"/>
      <c r="Z6" s="16"/>
    </row>
    <row r="7" spans="1:26">
      <c r="A7" s="1" t="s">
        <v>1</v>
      </c>
      <c r="B7" s="1" t="s">
        <v>93</v>
      </c>
      <c r="C7" s="1" t="s">
        <v>62</v>
      </c>
      <c r="E7" s="1" t="s">
        <v>65</v>
      </c>
      <c r="F7" s="1" t="s">
        <v>6</v>
      </c>
      <c r="G7" s="1" t="s">
        <v>64</v>
      </c>
      <c r="H7" s="1" t="s">
        <v>7</v>
      </c>
      <c r="I7" s="34" t="s">
        <v>69</v>
      </c>
      <c r="K7" s="15"/>
      <c r="L7" s="32" t="s">
        <v>45</v>
      </c>
      <c r="M7" s="16"/>
      <c r="N7" s="6">
        <f t="array" ref="N7:N12" xml:space="preserve"> GetArrayForFormula(GetUniqueItems(RangeToArray($L$4:$L$12)))</f>
        <v>1</v>
      </c>
      <c r="O7" s="16"/>
      <c r="P7" s="16"/>
      <c r="Q7" s="16"/>
      <c r="R7" s="16"/>
      <c r="S7" s="16"/>
      <c r="T7" s="16"/>
      <c r="U7" s="16"/>
      <c r="V7" s="16"/>
      <c r="W7" s="16"/>
      <c r="X7" s="16"/>
      <c r="Y7" s="17"/>
      <c r="Z7" s="16"/>
    </row>
    <row r="8" spans="1:26">
      <c r="A8" s="1"/>
      <c r="B8" s="1"/>
      <c r="C8" s="1"/>
      <c r="E8" s="1"/>
      <c r="F8" s="1"/>
      <c r="G8" s="1"/>
      <c r="H8" s="1"/>
      <c r="I8" s="34"/>
      <c r="J8" s="16"/>
      <c r="K8" s="15"/>
      <c r="L8" s="32" t="s">
        <v>46</v>
      </c>
      <c r="M8" s="16"/>
      <c r="N8" s="7">
        <v>2</v>
      </c>
      <c r="O8" s="16"/>
      <c r="P8" s="16"/>
      <c r="Q8" s="16"/>
      <c r="R8" s="16"/>
      <c r="S8" s="16"/>
      <c r="T8" s="16"/>
      <c r="U8" s="16"/>
      <c r="V8" s="16"/>
      <c r="W8" s="16"/>
      <c r="X8" s="16"/>
      <c r="Y8" s="17"/>
      <c r="Z8" s="16"/>
    </row>
    <row r="9" spans="1:26">
      <c r="A9" t="s">
        <v>51</v>
      </c>
      <c r="B9" t="b">
        <f xml:space="preserve"> NOT(ISNA(MATCH(A9, TblCoverage[Function], 0)))</f>
        <v>1</v>
      </c>
      <c r="C9" t="s">
        <v>53</v>
      </c>
      <c r="D9" s="16"/>
      <c r="E9" t="s">
        <v>75</v>
      </c>
      <c r="F9" t="s">
        <v>70</v>
      </c>
      <c r="G9" t="str">
        <f xml:space="preserve"> StringJoin(RangeToArray($N$7:$N$12), ",")</f>
        <v>1,2,3,a,b,c</v>
      </c>
      <c r="H9" t="s">
        <v>66</v>
      </c>
      <c r="I9" s="2" t="str">
        <f>IF(IFERROR(""&amp;G9, ExcelErrorType(G9)) = IFERROR(""&amp;H9, ExcelErrorType(H9)), "PASS", "FAIL")</f>
        <v>PASS</v>
      </c>
      <c r="J9" s="16"/>
      <c r="K9" s="15"/>
      <c r="L9" s="32" t="s">
        <v>45</v>
      </c>
      <c r="M9" s="16"/>
      <c r="N9" s="7">
        <v>3</v>
      </c>
      <c r="O9" s="16"/>
      <c r="P9" s="16"/>
      <c r="Q9" s="16"/>
      <c r="R9" s="16"/>
      <c r="S9" s="16"/>
      <c r="T9" s="16"/>
      <c r="U9" s="16"/>
      <c r="V9" s="16"/>
      <c r="W9" s="16"/>
      <c r="X9" s="16"/>
      <c r="Y9" s="17"/>
      <c r="Z9" s="16"/>
    </row>
    <row r="10" spans="1:26">
      <c r="A10" t="s">
        <v>50</v>
      </c>
      <c r="B10" t="b">
        <f xml:space="preserve"> NOT(ISNA(MATCH(A10, TblCoverage[Function], 0)))</f>
        <v>1</v>
      </c>
      <c r="C10" t="s">
        <v>53</v>
      </c>
      <c r="D10" s="16"/>
      <c r="E10" t="s">
        <v>75</v>
      </c>
      <c r="F10" s="16" t="s">
        <v>71</v>
      </c>
      <c r="G10" s="16" t="str">
        <f xml:space="preserve"> StringJoin(RangeToArray($P$12:$U$12), ",")</f>
        <v>1,2,3,a,b,c</v>
      </c>
      <c r="H10" t="s">
        <v>66</v>
      </c>
      <c r="I10" s="2" t="str">
        <f>IF(IFERROR(""&amp;G10, ExcelErrorType(G10)) = IFERROR(""&amp;H10, ExcelErrorType(H10)), "PASS", "FAIL")</f>
        <v>PASS</v>
      </c>
      <c r="J10" s="16"/>
      <c r="K10" s="15"/>
      <c r="L10" s="32" t="s">
        <v>47</v>
      </c>
      <c r="M10" s="16"/>
      <c r="N10" s="7" t="str">
        <v>a</v>
      </c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7"/>
      <c r="Z10" s="16"/>
    </row>
    <row r="11" spans="1:26">
      <c r="A11" t="s">
        <v>52</v>
      </c>
      <c r="B11" t="b">
        <f xml:space="preserve"> NOT(ISNA(MATCH(A11, TblCoverage[Function], 0)))</f>
        <v>1</v>
      </c>
      <c r="C11" t="s">
        <v>53</v>
      </c>
      <c r="D11" s="16"/>
      <c r="E11" t="s">
        <v>75</v>
      </c>
      <c r="F11" s="35" t="s">
        <v>73</v>
      </c>
      <c r="G11" s="16" t="str">
        <f xml:space="preserve"> StringJoin(GetUniqueItems(RangeToArray($L$4:$L$12)), ",")</f>
        <v>1,2,3,a,b,c</v>
      </c>
      <c r="H11" t="s">
        <v>66</v>
      </c>
      <c r="I11" s="2" t="str">
        <f>IF(IFERROR(""&amp;G11, ExcelErrorType(G11)) = IFERROR(""&amp;H11, ExcelErrorType(H11)), "PASS", "FAIL")</f>
        <v>PASS</v>
      </c>
      <c r="J11" s="16"/>
      <c r="K11" s="15"/>
      <c r="L11" s="32" t="s">
        <v>46</v>
      </c>
      <c r="M11" s="16"/>
      <c r="N11" s="7" t="str">
        <v>b</v>
      </c>
      <c r="O11" s="16"/>
      <c r="P11" s="3" t="s">
        <v>56</v>
      </c>
      <c r="Q11" s="4"/>
      <c r="R11" s="4"/>
      <c r="S11" s="4"/>
      <c r="T11" s="4"/>
      <c r="U11" s="4"/>
      <c r="V11" s="4"/>
      <c r="W11" s="4"/>
      <c r="X11" s="5"/>
      <c r="Y11" s="17"/>
      <c r="Z11" s="16"/>
    </row>
    <row r="12" spans="1:26">
      <c r="A12" t="s">
        <v>5</v>
      </c>
      <c r="B12" t="b">
        <f xml:space="preserve"> NOT(ISNA(MATCH(A12, TblCoverage[Function], 0)))</f>
        <v>1</v>
      </c>
      <c r="C12" t="s">
        <v>53</v>
      </c>
      <c r="D12" s="16"/>
      <c r="E12" t="s">
        <v>75</v>
      </c>
      <c r="F12" s="35" t="s">
        <v>74</v>
      </c>
      <c r="G12" s="16">
        <f xml:space="preserve"> ArrayLen(GetUniqueItems(RangeToArray($L$4:$L$12)))</f>
        <v>6</v>
      </c>
      <c r="H12" s="16">
        <v>6</v>
      </c>
      <c r="I12" s="2" t="str">
        <f>IF(IFERROR(""&amp;G12, ExcelErrorType(G12)) = IFERROR(""&amp;H12, ExcelErrorType(H12)), "PASS", "FAIL")</f>
        <v>PASS</v>
      </c>
      <c r="J12" s="16"/>
      <c r="K12" s="15"/>
      <c r="L12" s="33">
        <v>3</v>
      </c>
      <c r="M12" s="16"/>
      <c r="N12" s="8" t="str">
        <v>c</v>
      </c>
      <c r="O12" s="16"/>
      <c r="P12" s="9">
        <f t="array" ref="P12:U12" xml:space="preserve"> GetArrayForFormula(GetUniqueItems(RangeToArray($L$4:$L$12)))</f>
        <v>1</v>
      </c>
      <c r="Q12" s="10">
        <v>2</v>
      </c>
      <c r="R12" s="10">
        <v>3</v>
      </c>
      <c r="S12" s="10" t="str">
        <v>a</v>
      </c>
      <c r="T12" s="10" t="str">
        <v>b</v>
      </c>
      <c r="U12" s="11" t="str">
        <v>c</v>
      </c>
      <c r="V12" s="16"/>
      <c r="W12" s="16"/>
      <c r="X12" s="16"/>
      <c r="Y12" s="17"/>
      <c r="Z12" s="16"/>
    </row>
    <row r="13" spans="1:26" ht="15.75" thickBot="1">
      <c r="A13" t="s">
        <v>3</v>
      </c>
      <c r="B13" t="b">
        <f xml:space="preserve"> NOT(ISNA(MATCH(A13, TblCoverage[Function], 0)))</f>
        <v>1</v>
      </c>
      <c r="C13" t="s">
        <v>63</v>
      </c>
      <c r="D13" s="16"/>
      <c r="F13" s="35"/>
      <c r="G13" s="16"/>
      <c r="H13" s="35"/>
      <c r="J13" s="16"/>
      <c r="K13" s="19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1"/>
      <c r="Z13" s="16"/>
    </row>
    <row r="14" spans="1:26">
      <c r="A14" t="s">
        <v>49</v>
      </c>
      <c r="B14" t="b">
        <f xml:space="preserve"> NOT(ISNA(MATCH(A14, TblCoverage[Function], 0)))</f>
        <v>1</v>
      </c>
      <c r="C14" t="s">
        <v>63</v>
      </c>
      <c r="D14" s="16"/>
      <c r="F14" s="16"/>
      <c r="G14" s="16"/>
      <c r="H14" s="35"/>
      <c r="J14" s="16"/>
      <c r="K14" s="12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4"/>
      <c r="Z14" s="16"/>
    </row>
    <row r="15" spans="1:26">
      <c r="A15" t="s">
        <v>48</v>
      </c>
      <c r="B15" t="b">
        <f xml:space="preserve"> NOT(ISNA(MATCH(A15, TblCoverage[Function], 0)))</f>
        <v>1</v>
      </c>
      <c r="C15" t="s">
        <v>63</v>
      </c>
      <c r="D15" s="16"/>
      <c r="E15" t="s">
        <v>76</v>
      </c>
      <c r="F15" t="s">
        <v>70</v>
      </c>
      <c r="G15" s="16" t="str">
        <f xml:space="preserve"> StringJoin(RangeToArray($L$19:$L$24), ",")</f>
        <v>1,2,a,b,c,x</v>
      </c>
      <c r="H15" s="35" t="s">
        <v>77</v>
      </c>
      <c r="I15" s="2" t="str">
        <f>IF(IFERROR(""&amp;G15, ExcelErrorType(G15)) = IFERROR(""&amp;H15, ExcelErrorType(H15)), "PASS", "FAIL")</f>
        <v>PASS</v>
      </c>
      <c r="J15" s="16"/>
      <c r="K15" s="15"/>
      <c r="L15" s="22" t="s">
        <v>57</v>
      </c>
      <c r="M15" s="23"/>
      <c r="N15" s="23"/>
      <c r="O15" s="23"/>
      <c r="P15" s="24"/>
      <c r="Q15" s="16"/>
      <c r="R15" s="16"/>
      <c r="S15" s="16"/>
      <c r="T15" s="16"/>
      <c r="U15" s="16"/>
      <c r="V15" s="16"/>
      <c r="W15" s="16"/>
      <c r="X15" s="16"/>
      <c r="Y15" s="17"/>
      <c r="Z15" s="16"/>
    </row>
    <row r="16" spans="1:26">
      <c r="A16" t="s">
        <v>60</v>
      </c>
      <c r="B16" t="b">
        <f xml:space="preserve"> NOT(ISNA(MATCH(A16, TblCoverage[Function], 0)))</f>
        <v>1</v>
      </c>
      <c r="C16" t="s">
        <v>63</v>
      </c>
      <c r="D16" s="16"/>
      <c r="E16" t="s">
        <v>76</v>
      </c>
      <c r="F16" s="16" t="s">
        <v>71</v>
      </c>
      <c r="G16" s="16" t="str">
        <f xml:space="preserve"> StringJoin(RangeToArray($N$24:$S$24), ",")</f>
        <v>1,2,a,b,c,x</v>
      </c>
      <c r="H16" s="35" t="s">
        <v>77</v>
      </c>
      <c r="I16" s="2" t="str">
        <f>IF(IFERROR(""&amp;G16, ExcelErrorType(G16)) = IFERROR(""&amp;H16, ExcelErrorType(H16)), "PASS", "FAIL")</f>
        <v>PASS</v>
      </c>
      <c r="J16" s="16"/>
      <c r="K16" s="15"/>
      <c r="L16" s="25">
        <v>2</v>
      </c>
      <c r="M16" s="26">
        <v>1</v>
      </c>
      <c r="N16" s="26" t="s">
        <v>47</v>
      </c>
      <c r="O16" s="26" t="s">
        <v>61</v>
      </c>
      <c r="P16" s="26" t="s">
        <v>46</v>
      </c>
      <c r="Q16" s="26" t="s">
        <v>45</v>
      </c>
      <c r="R16" s="26" t="s">
        <v>47</v>
      </c>
      <c r="S16" s="26" t="s">
        <v>46</v>
      </c>
      <c r="T16" s="27" t="s">
        <v>61</v>
      </c>
      <c r="U16" s="16"/>
      <c r="V16" s="16"/>
      <c r="W16" s="16"/>
      <c r="X16" s="16"/>
      <c r="Y16" s="17"/>
      <c r="Z16" s="16"/>
    </row>
    <row r="17" spans="1:26">
      <c r="A17" t="s">
        <v>103</v>
      </c>
      <c r="B17" t="b">
        <f xml:space="preserve"> NOT(ISNA(MATCH(A17, TblCoverage[Function], 0)))</f>
        <v>1</v>
      </c>
      <c r="C17" t="s">
        <v>63</v>
      </c>
      <c r="D17" s="16"/>
      <c r="E17" t="s">
        <v>76</v>
      </c>
      <c r="F17" s="35" t="s">
        <v>73</v>
      </c>
      <c r="G17" s="16" t="str">
        <f xml:space="preserve"> StringJoin(GetUniqueItems(RangeToArray($L$16:$T$16)), ",")</f>
        <v>1,2,a,b,c,x</v>
      </c>
      <c r="H17" s="35" t="s">
        <v>77</v>
      </c>
      <c r="I17" s="2" t="str">
        <f>IF(IFERROR(""&amp;G17, ExcelErrorType(G17)) = IFERROR(""&amp;H17, ExcelErrorType(H17)), "PASS", "FAIL")</f>
        <v>PASS</v>
      </c>
      <c r="J17" s="16"/>
      <c r="K17" s="15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7"/>
      <c r="Z17" s="16"/>
    </row>
    <row r="18" spans="1:26">
      <c r="A18" t="s">
        <v>72</v>
      </c>
      <c r="B18" t="b">
        <f xml:space="preserve"> NOT(ISNA(MATCH(A18, TblCoverage[Function], 0)))</f>
        <v>1</v>
      </c>
      <c r="C18" t="s">
        <v>53</v>
      </c>
      <c r="D18" s="16"/>
      <c r="E18" t="s">
        <v>76</v>
      </c>
      <c r="F18" s="35" t="s">
        <v>74</v>
      </c>
      <c r="G18" s="16">
        <f xml:space="preserve"> ArrayLen(GetUniqueItems(RangeToArray($L$16:$T$16)))</f>
        <v>6</v>
      </c>
      <c r="H18" s="16">
        <v>6</v>
      </c>
      <c r="I18" s="2" t="str">
        <f>IF(IFERROR(""&amp;G18, ExcelErrorType(G18)) = IFERROR(""&amp;H18, ExcelErrorType(H18)), "PASS", "FAIL")</f>
        <v>PASS</v>
      </c>
      <c r="J18" s="16"/>
      <c r="K18" s="15"/>
      <c r="L18" s="3" t="s">
        <v>58</v>
      </c>
      <c r="M18" s="4"/>
      <c r="N18" s="4"/>
      <c r="O18" s="4"/>
      <c r="P18" s="4"/>
      <c r="Q18" s="4"/>
      <c r="R18" s="4"/>
      <c r="S18" s="4"/>
      <c r="T18" s="5"/>
      <c r="U18" s="16"/>
      <c r="V18" s="16"/>
      <c r="W18" s="16"/>
      <c r="X18" s="16"/>
      <c r="Y18" s="17"/>
      <c r="Z18" s="16"/>
    </row>
    <row r="19" spans="1:26">
      <c r="D19" s="16"/>
      <c r="E19" s="16"/>
      <c r="F19" s="16"/>
      <c r="G19" s="16"/>
      <c r="H19" s="16"/>
      <c r="I19" s="18"/>
      <c r="J19" s="16"/>
      <c r="K19" s="15"/>
      <c r="L19" s="6">
        <f t="array" ref="L19:L24" xml:space="preserve"> GetArrayForFormula(GetUniqueItems(RangeToArray($L$16:$T$16)))</f>
        <v>1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7"/>
      <c r="Z19" s="16"/>
    </row>
    <row r="20" spans="1:26">
      <c r="D20" s="16"/>
      <c r="E20" s="16"/>
      <c r="F20" s="16"/>
      <c r="G20" s="16"/>
      <c r="H20" s="16"/>
      <c r="I20" s="18"/>
      <c r="J20" s="16"/>
      <c r="K20" s="15"/>
      <c r="L20" s="7">
        <v>2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7"/>
      <c r="Z20" s="16"/>
    </row>
    <row r="21" spans="1:26">
      <c r="D21" s="16"/>
      <c r="E21" s="16"/>
      <c r="F21" s="16"/>
      <c r="G21" s="16"/>
      <c r="H21" s="16"/>
      <c r="I21" s="18"/>
      <c r="J21" s="16"/>
      <c r="K21" s="15"/>
      <c r="L21" s="7" t="str">
        <v>a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7"/>
      <c r="Z21" s="16"/>
    </row>
    <row r="22" spans="1:26">
      <c r="D22" s="16"/>
      <c r="E22" s="16"/>
      <c r="F22" s="16"/>
      <c r="G22" s="16"/>
      <c r="H22" s="16"/>
      <c r="I22" s="18"/>
      <c r="J22" s="16"/>
      <c r="K22" s="15"/>
      <c r="L22" s="7" t="str">
        <v>b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7"/>
      <c r="Z22" s="16"/>
    </row>
    <row r="23" spans="1:26">
      <c r="D23" s="16"/>
      <c r="E23" s="16"/>
      <c r="F23" s="16"/>
      <c r="G23" s="16"/>
      <c r="H23" s="16"/>
      <c r="I23" s="18"/>
      <c r="J23" s="16"/>
      <c r="K23" s="15"/>
      <c r="L23" s="7" t="str">
        <v>c</v>
      </c>
      <c r="M23" s="16"/>
      <c r="N23" s="3" t="s">
        <v>59</v>
      </c>
      <c r="O23" s="4"/>
      <c r="P23" s="4"/>
      <c r="Q23" s="4"/>
      <c r="R23" s="4"/>
      <c r="S23" s="4"/>
      <c r="T23" s="4"/>
      <c r="U23" s="4"/>
      <c r="V23" s="5"/>
      <c r="W23" s="16"/>
      <c r="X23" s="16"/>
      <c r="Y23" s="17"/>
      <c r="Z23" s="16"/>
    </row>
    <row r="24" spans="1:26">
      <c r="D24" s="16"/>
      <c r="E24" s="16"/>
      <c r="F24" s="16"/>
      <c r="G24" s="16"/>
      <c r="H24" s="16"/>
      <c r="I24" s="18"/>
      <c r="J24" s="16"/>
      <c r="K24" s="15"/>
      <c r="L24" s="8" t="str">
        <v>x</v>
      </c>
      <c r="M24" s="16"/>
      <c r="N24" s="9">
        <f t="array" ref="N24:S24" xml:space="preserve"> GetArrayForFormula(GetUniqueItems(RangeToArray($L$16:$T$16)))</f>
        <v>1</v>
      </c>
      <c r="O24" s="10">
        <v>2</v>
      </c>
      <c r="P24" s="10" t="str">
        <v>a</v>
      </c>
      <c r="Q24" s="10" t="str">
        <v>b</v>
      </c>
      <c r="R24" s="10" t="str">
        <v>c</v>
      </c>
      <c r="S24" s="11" t="str">
        <v>x</v>
      </c>
      <c r="T24" s="16"/>
      <c r="U24" s="16"/>
      <c r="V24" s="16"/>
      <c r="W24" s="16"/>
      <c r="X24" s="16"/>
      <c r="Y24" s="17"/>
      <c r="Z24" s="16"/>
    </row>
    <row r="25" spans="1:26" ht="15.75" thickBot="1">
      <c r="D25" s="16"/>
      <c r="E25" s="16"/>
      <c r="F25" s="16"/>
      <c r="G25" s="16"/>
      <c r="H25" s="16"/>
      <c r="I25" s="18"/>
      <c r="J25" s="16"/>
      <c r="K25" s="19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1"/>
      <c r="Z25" s="16"/>
    </row>
    <row r="26" spans="1:26">
      <c r="D26" s="16"/>
      <c r="E26" s="16"/>
      <c r="F26" s="16"/>
      <c r="G26" s="16"/>
      <c r="H26" s="16"/>
      <c r="I26" s="18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>
      <c r="A27" t="s">
        <v>10</v>
      </c>
      <c r="B27" t="b">
        <f xml:space="preserve"> NOT(ISNA(MATCH(A27, TblCoverage[Function], 0)))</f>
        <v>1</v>
      </c>
      <c r="C27" t="s">
        <v>53</v>
      </c>
      <c r="D27" s="16"/>
      <c r="E27" s="16" t="s">
        <v>10</v>
      </c>
      <c r="F27" s="16" t="s">
        <v>78</v>
      </c>
      <c r="G27" s="16" t="b">
        <f xml:space="preserve"> SheetExists("Tests")</f>
        <v>1</v>
      </c>
      <c r="H27" s="16" t="b">
        <v>1</v>
      </c>
      <c r="I27" s="2" t="str">
        <f>IF(IFERROR(""&amp;G27, ExcelErrorType(G27)) = IFERROR(""&amp;H27, ExcelErrorType(H27)), "PASS", "FAIL")</f>
        <v>PASS</v>
      </c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spans="1:26">
      <c r="D28" s="16"/>
      <c r="E28" s="16" t="s">
        <v>10</v>
      </c>
      <c r="F28" s="16" t="s">
        <v>79</v>
      </c>
      <c r="G28" s="16" t="b">
        <f xml:space="preserve"> SheetExists("Coverage")</f>
        <v>1</v>
      </c>
      <c r="H28" s="16" t="b">
        <v>1</v>
      </c>
      <c r="I28" s="2" t="str">
        <f>IF(IFERROR(""&amp;G28, ExcelErrorType(G28)) = IFERROR(""&amp;H28, ExcelErrorType(H28)), "PASS", "FAIL")</f>
        <v>PASS</v>
      </c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spans="1:26">
      <c r="D29" s="16"/>
      <c r="E29" s="16" t="s">
        <v>10</v>
      </c>
      <c r="F29" s="16" t="s">
        <v>92</v>
      </c>
      <c r="G29" s="16" t="b">
        <f xml:space="preserve"> SheetExists("NotARealSheet")</f>
        <v>0</v>
      </c>
      <c r="H29" s="16" t="b">
        <v>0</v>
      </c>
      <c r="I29" s="2" t="str">
        <f>IF(IFERROR(""&amp;G29, ExcelErrorType(G29)) = IFERROR(""&amp;H29, ExcelErrorType(H29)), "PASS", "FAIL")</f>
        <v>PASS</v>
      </c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>
      <c r="D30" s="16"/>
      <c r="E30" s="16" t="s">
        <v>10</v>
      </c>
      <c r="F30" s="35" t="s">
        <v>80</v>
      </c>
      <c r="G30" s="16" t="b">
        <f xml:space="preserve"> SheetExists("Bad[*]Sheet\:/Name")</f>
        <v>0</v>
      </c>
      <c r="H30" s="35" t="b">
        <v>0</v>
      </c>
      <c r="I30" s="2" t="str">
        <f>IF(IFERROR(""&amp;G30, ExcelErrorType(G30)) = IFERROR(""&amp;H30, ExcelErrorType(H30)), "PASS", "FAIL")</f>
        <v>PASS</v>
      </c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spans="1:26">
      <c r="D31" s="16"/>
      <c r="E31" s="16" t="s">
        <v>10</v>
      </c>
      <c r="F31" s="35" t="s">
        <v>88</v>
      </c>
      <c r="G31" s="16" t="b">
        <f xml:space="preserve"> SheetExists("What happens if I enter a sheet name that is way too long")</f>
        <v>0</v>
      </c>
      <c r="H31" s="35" t="b">
        <v>0</v>
      </c>
      <c r="I31" s="2" t="str">
        <f>IF(IFERROR(""&amp;G31, ExcelErrorType(G31)) = IFERROR(""&amp;H31, ExcelErrorType(H31)), "PASS", "FAIL")</f>
        <v>PASS</v>
      </c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6">
      <c r="D32" s="16"/>
      <c r="E32" s="16"/>
      <c r="F32" s="16"/>
      <c r="G32" s="16"/>
      <c r="H32" s="16"/>
      <c r="I32" s="18"/>
      <c r="J32" s="16"/>
    </row>
    <row r="33" spans="1:10">
      <c r="A33" t="s">
        <v>9</v>
      </c>
      <c r="B33" t="b">
        <f xml:space="preserve"> NOT(ISNA(MATCH(A33, TblCoverage[Function], 0)))</f>
        <v>1</v>
      </c>
      <c r="C33" t="s">
        <v>53</v>
      </c>
      <c r="D33" s="16"/>
      <c r="E33" s="35" t="s">
        <v>9</v>
      </c>
      <c r="F33" s="35" t="s">
        <v>89</v>
      </c>
      <c r="G33" s="16" t="b">
        <f xml:space="preserve"> IsWorkbookOpen("Testing.xlsm")</f>
        <v>1</v>
      </c>
      <c r="H33" s="35" t="b">
        <v>1</v>
      </c>
      <c r="I33" s="2" t="str">
        <f>IF(IFERROR(""&amp;G33, ExcelErrorType(G33)) = IFERROR(""&amp;H33, ExcelErrorType(H33)), "PASS", "FAIL")</f>
        <v>PASS</v>
      </c>
      <c r="J33" s="16"/>
    </row>
    <row r="34" spans="1:10">
      <c r="D34" s="16"/>
      <c r="E34" s="35" t="s">
        <v>9</v>
      </c>
      <c r="F34" s="35" t="s">
        <v>90</v>
      </c>
      <c r="G34" t="b">
        <f xml:space="preserve"> IsWorkbookOpen("Not a real workbook.xlsx")</f>
        <v>0</v>
      </c>
      <c r="H34" s="35" t="b">
        <v>0</v>
      </c>
      <c r="I34" s="2" t="str">
        <f>IF(IFERROR(""&amp;G34, ExcelErrorType(G34)) = IFERROR(""&amp;H34, ExcelErrorType(H34)), "PASS", "FAIL")</f>
        <v>PASS</v>
      </c>
    </row>
    <row r="35" spans="1:10">
      <c r="E35" s="35" t="s">
        <v>9</v>
      </c>
      <c r="F35" s="35" t="s">
        <v>91</v>
      </c>
      <c r="G35" t="b">
        <f xml:space="preserve"> IsWorkbookOpen("Invalid:Workbook|Filename&gt;test")</f>
        <v>0</v>
      </c>
      <c r="H35" s="35" t="b">
        <v>0</v>
      </c>
      <c r="I35" s="2" t="str">
        <f>IF(IFERROR(""&amp;G35, ExcelErrorType(G35)) = IFERROR(""&amp;H35, ExcelErrorType(H35)), "PASS", "FAIL")</f>
        <v>PASS</v>
      </c>
    </row>
  </sheetData>
  <conditionalFormatting sqref="A9:B10000">
    <cfRule type="expression" dxfId="7" priority="1">
      <formula xml:space="preserve"> ""&amp;$B9 = "FALSE"</formula>
    </cfRule>
  </conditionalFormatting>
  <conditionalFormatting sqref="I9:I10000">
    <cfRule type="cellIs" dxfId="6" priority="2" operator="equal">
      <formula>"FAIL"</formula>
    </cfRule>
    <cfRule type="cellIs" dxfId="5" priority="3" operator="equal">
      <formula>"PASS"</formula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H58"/>
  <sheetViews>
    <sheetView workbookViewId="0"/>
  </sheetViews>
  <sheetFormatPr defaultRowHeight="15"/>
  <cols>
    <col min="1" max="1" width="17" bestFit="1" customWidth="1"/>
    <col min="2" max="2" width="23" bestFit="1" customWidth="1"/>
    <col min="3" max="3" width="13.42578125" bestFit="1" customWidth="1"/>
    <col min="4" max="4" width="15" bestFit="1" customWidth="1"/>
    <col min="5" max="5" width="10.5703125" bestFit="1" customWidth="1"/>
    <col min="7" max="7" width="21.5703125" bestFit="1" customWidth="1"/>
  </cols>
  <sheetData>
    <row r="1" spans="1:8" ht="15.75" thickBot="1">
      <c r="A1" s="1" t="s">
        <v>0</v>
      </c>
      <c r="B1" s="1" t="s">
        <v>1</v>
      </c>
      <c r="C1" s="1" t="s">
        <v>81</v>
      </c>
      <c r="D1" s="1" t="s">
        <v>82</v>
      </c>
      <c r="E1" s="1" t="s">
        <v>83</v>
      </c>
    </row>
    <row r="2" spans="1:8">
      <c r="A2" t="s">
        <v>2</v>
      </c>
      <c r="B2" t="s">
        <v>3</v>
      </c>
      <c r="C2" s="40">
        <f xml:space="preserve"> COUNTIFS(Tests!$A:$A,[Function], Tests!$C:$C,"Direct")</f>
        <v>0</v>
      </c>
      <c r="D2" s="40">
        <f xml:space="preserve"> COUNTIFS(Tests!$A:$A,[Function], Tests!$C:$C,"Indirect")</f>
        <v>1</v>
      </c>
      <c r="E2" s="40" t="b">
        <f xml:space="preserve"> [Direct Tests] + [Indirect Tests] &gt; 0</f>
        <v>1</v>
      </c>
      <c r="G2" s="36" t="s">
        <v>84</v>
      </c>
      <c r="H2" s="37">
        <f xml:space="preserve"> COUNTIF(TblCoverage[Covered], TRUE)</f>
        <v>12</v>
      </c>
    </row>
    <row r="3" spans="1:8" ht="15.75" thickBot="1">
      <c r="A3" t="s">
        <v>2</v>
      </c>
      <c r="B3" t="s">
        <v>4</v>
      </c>
      <c r="C3" s="40">
        <f xml:space="preserve"> COUNTIFS(Tests!$A:$A,[Function], Tests!$C:$C,"Direct")</f>
        <v>0</v>
      </c>
      <c r="D3" s="40">
        <f xml:space="preserve"> COUNTIFS(Tests!$A:$A,[Function], Tests!$C:$C,"Indirect")</f>
        <v>0</v>
      </c>
      <c r="E3" s="40" t="b">
        <f xml:space="preserve"> [Direct Tests] + [Indirect Tests] &gt; 0</f>
        <v>0</v>
      </c>
      <c r="G3" s="38" t="s">
        <v>85</v>
      </c>
      <c r="H3" s="39">
        <f xml:space="preserve"> COUNTIF(TblCoverage[Covered], FALSE)</f>
        <v>45</v>
      </c>
    </row>
    <row r="4" spans="1:8">
      <c r="A4" t="s">
        <v>2</v>
      </c>
      <c r="B4" t="s">
        <v>5</v>
      </c>
      <c r="C4" s="40">
        <f xml:space="preserve"> COUNTIFS(Tests!$A:$A,[Function], Tests!$C:$C,"Direct")</f>
        <v>1</v>
      </c>
      <c r="D4" s="40">
        <f xml:space="preserve"> COUNTIFS(Tests!$A:$A,[Function], Tests!$C:$C,"Indirect")</f>
        <v>0</v>
      </c>
      <c r="E4" s="40" t="b">
        <f xml:space="preserve"> [Direct Tests] + [Indirect Tests] &gt; 0</f>
        <v>1</v>
      </c>
    </row>
    <row r="5" spans="1:8">
      <c r="A5" t="s">
        <v>2</v>
      </c>
      <c r="B5" t="s">
        <v>48</v>
      </c>
      <c r="C5" s="40">
        <f xml:space="preserve"> COUNTIFS(Tests!$A:$A,[Function], Tests!$C:$C,"Direct")</f>
        <v>0</v>
      </c>
      <c r="D5" s="40">
        <f xml:space="preserve"> COUNTIFS(Tests!$A:$A,[Function], Tests!$C:$C,"Indirect")</f>
        <v>1</v>
      </c>
      <c r="E5" s="40" t="b">
        <f xml:space="preserve"> [Direct Tests] + [Indirect Tests] &gt; 0</f>
        <v>1</v>
      </c>
    </row>
    <row r="6" spans="1:8">
      <c r="A6" t="s">
        <v>2</v>
      </c>
      <c r="B6" t="s">
        <v>49</v>
      </c>
      <c r="C6" s="40">
        <f xml:space="preserve"> COUNTIFS(Tests!$A:$A,[Function], Tests!$C:$C,"Direct")</f>
        <v>0</v>
      </c>
      <c r="D6" s="40">
        <f xml:space="preserve"> COUNTIFS(Tests!$A:$A,[Function], Tests!$C:$C,"Indirect")</f>
        <v>1</v>
      </c>
      <c r="E6" s="40" t="b">
        <f xml:space="preserve"> [Direct Tests] + [Indirect Tests] &gt; 0</f>
        <v>1</v>
      </c>
    </row>
    <row r="7" spans="1:8">
      <c r="A7" t="s">
        <v>2</v>
      </c>
      <c r="B7" t="s">
        <v>50</v>
      </c>
      <c r="C7" s="40">
        <f xml:space="preserve"> COUNTIFS(Tests!$A:$A,[Function], Tests!$C:$C,"Direct")</f>
        <v>1</v>
      </c>
      <c r="D7" s="40">
        <f xml:space="preserve"> COUNTIFS(Tests!$A:$A,[Function], Tests!$C:$C,"Indirect")</f>
        <v>0</v>
      </c>
      <c r="E7" s="40" t="b">
        <f xml:space="preserve"> [Direct Tests] + [Indirect Tests] &gt; 0</f>
        <v>1</v>
      </c>
    </row>
    <row r="8" spans="1:8">
      <c r="A8" t="s">
        <v>8</v>
      </c>
      <c r="B8" t="s">
        <v>9</v>
      </c>
      <c r="C8" s="40">
        <f xml:space="preserve"> COUNTIFS(Tests!$A:$A,[Function], Tests!$C:$C,"Direct")</f>
        <v>1</v>
      </c>
      <c r="D8" s="40">
        <f xml:space="preserve"> COUNTIFS(Tests!$A:$A,[Function], Tests!$C:$C,"Indirect")</f>
        <v>0</v>
      </c>
      <c r="E8" s="40" t="b">
        <f xml:space="preserve"> [Direct Tests] + [Indirect Tests] &gt; 0</f>
        <v>1</v>
      </c>
    </row>
    <row r="9" spans="1:8">
      <c r="A9" t="s">
        <v>8</v>
      </c>
      <c r="B9" t="s">
        <v>10</v>
      </c>
      <c r="C9" s="40">
        <f xml:space="preserve"> COUNTIFS(Tests!$A:$A,[Function], Tests!$C:$C,"Direct")</f>
        <v>1</v>
      </c>
      <c r="D9" s="40">
        <f xml:space="preserve"> COUNTIFS(Tests!$A:$A,[Function], Tests!$C:$C,"Indirect")</f>
        <v>0</v>
      </c>
      <c r="E9" s="40" t="b">
        <f xml:space="preserve"> [Direct Tests] + [Indirect Tests] &gt; 0</f>
        <v>1</v>
      </c>
    </row>
    <row r="10" spans="1:8">
      <c r="A10" t="s">
        <v>8</v>
      </c>
      <c r="B10" t="s">
        <v>94</v>
      </c>
      <c r="C10" s="40">
        <f xml:space="preserve"> COUNTIFS(Tests!$A:$A,[Function], Tests!$C:$C,"Direct")</f>
        <v>0</v>
      </c>
      <c r="D10" s="40">
        <f xml:space="preserve"> COUNTIFS(Tests!$A:$A,[Function], Tests!$C:$C,"Indirect")</f>
        <v>0</v>
      </c>
      <c r="E10" s="40" t="b">
        <f xml:space="preserve"> [Direct Tests] + [Indirect Tests] &gt; 0</f>
        <v>0</v>
      </c>
    </row>
    <row r="11" spans="1:8">
      <c r="A11" t="s">
        <v>8</v>
      </c>
      <c r="B11" t="s">
        <v>95</v>
      </c>
      <c r="C11" s="40">
        <f xml:space="preserve"> COUNTIFS(Tests!$A:$A,[Function], Tests!$C:$C,"Direct")</f>
        <v>0</v>
      </c>
      <c r="D11" s="40">
        <f xml:space="preserve"> COUNTIFS(Tests!$A:$A,[Function], Tests!$C:$C,"Indirect")</f>
        <v>0</v>
      </c>
      <c r="E11" s="40" t="b">
        <f xml:space="preserve"> [Direct Tests] + [Indirect Tests] &gt; 0</f>
        <v>0</v>
      </c>
    </row>
    <row r="12" spans="1:8">
      <c r="A12" t="s">
        <v>8</v>
      </c>
      <c r="B12" t="s">
        <v>96</v>
      </c>
      <c r="C12" s="40">
        <f xml:space="preserve"> COUNTIFS(Tests!$A:$A,[Function], Tests!$C:$C,"Direct")</f>
        <v>0</v>
      </c>
      <c r="D12" s="40">
        <f xml:space="preserve"> COUNTIFS(Tests!$A:$A,[Function], Tests!$C:$C,"Indirect")</f>
        <v>0</v>
      </c>
      <c r="E12" s="40" t="b">
        <f xml:space="preserve"> [Direct Tests] + [Indirect Tests] &gt; 0</f>
        <v>0</v>
      </c>
    </row>
    <row r="13" spans="1:8">
      <c r="A13" t="s">
        <v>8</v>
      </c>
      <c r="B13" t="s">
        <v>97</v>
      </c>
      <c r="C13" s="40">
        <f xml:space="preserve"> COUNTIFS(Tests!$A:$A,[Function], Tests!$C:$C,"Direct")</f>
        <v>0</v>
      </c>
      <c r="D13" s="40">
        <f xml:space="preserve"> COUNTIFS(Tests!$A:$A,[Function], Tests!$C:$C,"Indirect")</f>
        <v>0</v>
      </c>
      <c r="E13" s="40" t="b">
        <f xml:space="preserve"> [Direct Tests] + [Indirect Tests] &gt; 0</f>
        <v>0</v>
      </c>
    </row>
    <row r="14" spans="1:8">
      <c r="A14" t="s">
        <v>8</v>
      </c>
      <c r="B14" t="s">
        <v>11</v>
      </c>
      <c r="C14" s="40">
        <f xml:space="preserve"> COUNTIFS(Tests!$A:$A,[Function], Tests!$C:$C,"Direct")</f>
        <v>0</v>
      </c>
      <c r="D14" s="40">
        <f xml:space="preserve"> COUNTIFS(Tests!$A:$A,[Function], Tests!$C:$C,"Indirect")</f>
        <v>0</v>
      </c>
      <c r="E14" s="40" t="b">
        <f xml:space="preserve"> [Direct Tests] + [Indirect Tests] &gt; 0</f>
        <v>0</v>
      </c>
    </row>
    <row r="15" spans="1:8">
      <c r="A15" t="s">
        <v>8</v>
      </c>
      <c r="B15" t="s">
        <v>12</v>
      </c>
      <c r="C15" s="40">
        <f xml:space="preserve"> COUNTIFS(Tests!$A:$A,[Function], Tests!$C:$C,"Direct")</f>
        <v>0</v>
      </c>
      <c r="D15" s="40">
        <f xml:space="preserve"> COUNTIFS(Tests!$A:$A,[Function], Tests!$C:$C,"Indirect")</f>
        <v>0</v>
      </c>
      <c r="E15" s="40" t="b">
        <f xml:space="preserve"> [Direct Tests] + [Indirect Tests] &gt; 0</f>
        <v>0</v>
      </c>
    </row>
    <row r="16" spans="1:8">
      <c r="A16" t="s">
        <v>8</v>
      </c>
      <c r="B16" t="s">
        <v>13</v>
      </c>
      <c r="C16" s="40">
        <f xml:space="preserve"> COUNTIFS(Tests!$A:$A,[Function], Tests!$C:$C,"Direct")</f>
        <v>0</v>
      </c>
      <c r="D16" s="40">
        <f xml:space="preserve"> COUNTIFS(Tests!$A:$A,[Function], Tests!$C:$C,"Indirect")</f>
        <v>0</v>
      </c>
      <c r="E16" s="40" t="b">
        <f xml:space="preserve"> [Direct Tests] + [Indirect Tests] &gt; 0</f>
        <v>0</v>
      </c>
    </row>
    <row r="17" spans="1:5">
      <c r="A17" t="s">
        <v>8</v>
      </c>
      <c r="B17" t="s">
        <v>14</v>
      </c>
      <c r="C17" s="40">
        <f xml:space="preserve"> COUNTIFS(Tests!$A:$A,[Function], Tests!$C:$C,"Direct")</f>
        <v>0</v>
      </c>
      <c r="D17" s="40">
        <f xml:space="preserve"> COUNTIFS(Tests!$A:$A,[Function], Tests!$C:$C,"Indirect")</f>
        <v>0</v>
      </c>
      <c r="E17" s="40" t="b">
        <f xml:space="preserve"> [Direct Tests] + [Indirect Tests] &gt; 0</f>
        <v>0</v>
      </c>
    </row>
    <row r="18" spans="1:5">
      <c r="A18" t="s">
        <v>8</v>
      </c>
      <c r="B18" t="s">
        <v>15</v>
      </c>
      <c r="C18" s="40">
        <f xml:space="preserve"> COUNTIFS(Tests!$A:$A,[Function], Tests!$C:$C,"Direct")</f>
        <v>0</v>
      </c>
      <c r="D18" s="40">
        <f xml:space="preserve"> COUNTIFS(Tests!$A:$A,[Function], Tests!$C:$C,"Indirect")</f>
        <v>0</v>
      </c>
      <c r="E18" s="40" t="b">
        <f xml:space="preserve"> [Direct Tests] + [Indirect Tests] &gt; 0</f>
        <v>0</v>
      </c>
    </row>
    <row r="19" spans="1:5">
      <c r="A19" t="s">
        <v>8</v>
      </c>
      <c r="B19" t="s">
        <v>98</v>
      </c>
      <c r="C19" s="40">
        <f xml:space="preserve"> COUNTIFS(Tests!$A:$A,[Function], Tests!$C:$C,"Direct")</f>
        <v>0</v>
      </c>
      <c r="D19" s="40">
        <f xml:space="preserve"> COUNTIFS(Tests!$A:$A,[Function], Tests!$C:$C,"Indirect")</f>
        <v>0</v>
      </c>
      <c r="E19" s="40" t="b">
        <f xml:space="preserve"> [Direct Tests] + [Indirect Tests] &gt; 0</f>
        <v>0</v>
      </c>
    </row>
    <row r="20" spans="1:5">
      <c r="A20" t="s">
        <v>8</v>
      </c>
      <c r="B20" t="s">
        <v>99</v>
      </c>
      <c r="C20" s="40">
        <f xml:space="preserve"> COUNTIFS(Tests!$A:$A,[Function], Tests!$C:$C,"Direct")</f>
        <v>0</v>
      </c>
      <c r="D20" s="40">
        <f xml:space="preserve"> COUNTIFS(Tests!$A:$A,[Function], Tests!$C:$C,"Indirect")</f>
        <v>0</v>
      </c>
      <c r="E20" s="40" t="b">
        <f xml:space="preserve"> [Direct Tests] + [Indirect Tests] &gt; 0</f>
        <v>0</v>
      </c>
    </row>
    <row r="21" spans="1:5">
      <c r="A21" t="s">
        <v>8</v>
      </c>
      <c r="B21" t="s">
        <v>109</v>
      </c>
      <c r="C21" s="40">
        <f xml:space="preserve"> COUNTIFS(Tests!$A:$A,[Function], Tests!$C:$C,"Direct")</f>
        <v>0</v>
      </c>
      <c r="D21" s="40">
        <f xml:space="preserve"> COUNTIFS(Tests!$A:$A,[Function], Tests!$C:$C,"Indirect")</f>
        <v>0</v>
      </c>
      <c r="E21" s="40" t="b">
        <f xml:space="preserve"> [Direct Tests] + [Indirect Tests] &gt; 0</f>
        <v>0</v>
      </c>
    </row>
    <row r="22" spans="1:5">
      <c r="A22" t="s">
        <v>16</v>
      </c>
      <c r="B22" t="s">
        <v>18</v>
      </c>
      <c r="C22" s="40">
        <f xml:space="preserve"> COUNTIFS(Tests!$A:$A,[Function], Tests!$C:$C,"Direct")</f>
        <v>0</v>
      </c>
      <c r="D22" s="40">
        <f xml:space="preserve"> COUNTIFS(Tests!$A:$A,[Function], Tests!$C:$C,"Indirect")</f>
        <v>0</v>
      </c>
      <c r="E22" s="40" t="b">
        <f xml:space="preserve"> [Direct Tests] + [Indirect Tests] &gt; 0</f>
        <v>0</v>
      </c>
    </row>
    <row r="23" spans="1:5">
      <c r="A23" t="s">
        <v>16</v>
      </c>
      <c r="B23" t="s">
        <v>17</v>
      </c>
      <c r="C23" s="40">
        <f xml:space="preserve"> COUNTIFS(Tests!$A:$A,[Function], Tests!$C:$C,"Direct")</f>
        <v>0</v>
      </c>
      <c r="D23" s="40">
        <f xml:space="preserve"> COUNTIFS(Tests!$A:$A,[Function], Tests!$C:$C,"Indirect")</f>
        <v>0</v>
      </c>
      <c r="E23" s="40" t="b">
        <f xml:space="preserve"> [Direct Tests] + [Indirect Tests] &gt; 0</f>
        <v>0</v>
      </c>
    </row>
    <row r="24" spans="1:5">
      <c r="A24" t="s">
        <v>16</v>
      </c>
      <c r="B24" t="s">
        <v>19</v>
      </c>
      <c r="C24" s="40">
        <f xml:space="preserve"> COUNTIFS(Tests!$A:$A,[Function], Tests!$C:$C,"Direct")</f>
        <v>0</v>
      </c>
      <c r="D24" s="40">
        <f xml:space="preserve"> COUNTIFS(Tests!$A:$A,[Function], Tests!$C:$C,"Indirect")</f>
        <v>0</v>
      </c>
      <c r="E24" s="40" t="b">
        <f xml:space="preserve"> [Direct Tests] + [Indirect Tests] &gt; 0</f>
        <v>0</v>
      </c>
    </row>
    <row r="25" spans="1:5">
      <c r="A25" t="s">
        <v>16</v>
      </c>
      <c r="B25" t="s">
        <v>20</v>
      </c>
      <c r="C25" s="40">
        <f xml:space="preserve"> COUNTIFS(Tests!$A:$A,[Function], Tests!$C:$C,"Direct")</f>
        <v>0</v>
      </c>
      <c r="D25" s="40">
        <f xml:space="preserve"> COUNTIFS(Tests!$A:$A,[Function], Tests!$C:$C,"Indirect")</f>
        <v>0</v>
      </c>
      <c r="E25" s="40" t="b">
        <f xml:space="preserve"> [Direct Tests] + [Indirect Tests] &gt; 0</f>
        <v>0</v>
      </c>
    </row>
    <row r="26" spans="1:5">
      <c r="A26" t="s">
        <v>16</v>
      </c>
      <c r="B26" t="s">
        <v>21</v>
      </c>
      <c r="C26" s="40">
        <f xml:space="preserve"> COUNTIFS(Tests!$A:$A,[Function], Tests!$C:$C,"Direct")</f>
        <v>0</v>
      </c>
      <c r="D26" s="40">
        <f xml:space="preserve"> COUNTIFS(Tests!$A:$A,[Function], Tests!$C:$C,"Indirect")</f>
        <v>0</v>
      </c>
      <c r="E26" s="40" t="b">
        <f xml:space="preserve"> [Direct Tests] + [Indirect Tests] &gt; 0</f>
        <v>0</v>
      </c>
    </row>
    <row r="27" spans="1:5">
      <c r="A27" t="s">
        <v>16</v>
      </c>
      <c r="B27" t="s">
        <v>22</v>
      </c>
      <c r="C27" s="40">
        <f xml:space="preserve"> COUNTIFS(Tests!$A:$A,[Function], Tests!$C:$C,"Direct")</f>
        <v>0</v>
      </c>
      <c r="D27" s="40">
        <f xml:space="preserve"> COUNTIFS(Tests!$A:$A,[Function], Tests!$C:$C,"Indirect")</f>
        <v>0</v>
      </c>
      <c r="E27" s="40" t="b">
        <f xml:space="preserve"> [Direct Tests] + [Indirect Tests] &gt; 0</f>
        <v>0</v>
      </c>
    </row>
    <row r="28" spans="1:5">
      <c r="A28" t="s">
        <v>16</v>
      </c>
      <c r="B28" t="s">
        <v>23</v>
      </c>
      <c r="C28" s="40">
        <f xml:space="preserve"> COUNTIFS(Tests!$A:$A,[Function], Tests!$C:$C,"Direct")</f>
        <v>0</v>
      </c>
      <c r="D28" s="40">
        <f xml:space="preserve"> COUNTIFS(Tests!$A:$A,[Function], Tests!$C:$C,"Indirect")</f>
        <v>0</v>
      </c>
      <c r="E28" s="40" t="b">
        <f xml:space="preserve"> [Direct Tests] + [Indirect Tests] &gt; 0</f>
        <v>0</v>
      </c>
    </row>
    <row r="29" spans="1:5">
      <c r="A29" t="s">
        <v>16</v>
      </c>
      <c r="B29" t="s">
        <v>24</v>
      </c>
      <c r="C29" s="40">
        <f xml:space="preserve"> COUNTIFS(Tests!$A:$A,[Function], Tests!$C:$C,"Direct")</f>
        <v>0</v>
      </c>
      <c r="D29" s="40">
        <f xml:space="preserve"> COUNTIFS(Tests!$A:$A,[Function], Tests!$C:$C,"Indirect")</f>
        <v>0</v>
      </c>
      <c r="E29" s="40" t="b">
        <f xml:space="preserve"> [Direct Tests] + [Indirect Tests] &gt; 0</f>
        <v>0</v>
      </c>
    </row>
    <row r="30" spans="1:5">
      <c r="A30" t="s">
        <v>16</v>
      </c>
      <c r="B30" t="s">
        <v>25</v>
      </c>
      <c r="C30" s="40">
        <f xml:space="preserve"> COUNTIFS(Tests!$A:$A,[Function], Tests!$C:$C,"Direct")</f>
        <v>0</v>
      </c>
      <c r="D30" s="40">
        <f xml:space="preserve"> COUNTIFS(Tests!$A:$A,[Function], Tests!$C:$C,"Indirect")</f>
        <v>0</v>
      </c>
      <c r="E30" s="40" t="b">
        <f xml:space="preserve"> [Direct Tests] + [Indirect Tests] &gt; 0</f>
        <v>0</v>
      </c>
    </row>
    <row r="31" spans="1:5">
      <c r="A31" t="s">
        <v>26</v>
      </c>
      <c r="B31" t="s">
        <v>27</v>
      </c>
      <c r="C31" s="40">
        <f xml:space="preserve"> COUNTIFS(Tests!$A:$A,[Function], Tests!$C:$C,"Direct")</f>
        <v>0</v>
      </c>
      <c r="D31" s="40">
        <f xml:space="preserve"> COUNTIFS(Tests!$A:$A,[Function], Tests!$C:$C,"Indirect")</f>
        <v>0</v>
      </c>
      <c r="E31" s="40" t="b">
        <f xml:space="preserve"> [Direct Tests] + [Indirect Tests] &gt; 0</f>
        <v>0</v>
      </c>
    </row>
    <row r="32" spans="1:5">
      <c r="A32" t="s">
        <v>26</v>
      </c>
      <c r="B32" t="s">
        <v>28</v>
      </c>
      <c r="C32" s="40">
        <f xml:space="preserve"> COUNTIFS(Tests!$A:$A,[Function], Tests!$C:$C,"Direct")</f>
        <v>0</v>
      </c>
      <c r="D32" s="40">
        <f xml:space="preserve"> COUNTIFS(Tests!$A:$A,[Function], Tests!$C:$C,"Indirect")</f>
        <v>0</v>
      </c>
      <c r="E32" s="40" t="b">
        <f xml:space="preserve"> [Direct Tests] + [Indirect Tests] &gt; 0</f>
        <v>0</v>
      </c>
    </row>
    <row r="33" spans="1:5">
      <c r="A33" t="s">
        <v>26</v>
      </c>
      <c r="B33" t="s">
        <v>72</v>
      </c>
      <c r="C33" s="40">
        <f xml:space="preserve"> COUNTIFS(Tests!$A:$A,[Function], Tests!$C:$C,"Direct")</f>
        <v>1</v>
      </c>
      <c r="D33" s="40">
        <f xml:space="preserve"> COUNTIFS(Tests!$A:$A,[Function], Tests!$C:$C,"Indirect")</f>
        <v>0</v>
      </c>
      <c r="E33" s="40" t="b">
        <f xml:space="preserve"> [Direct Tests] + [Indirect Tests] &gt; 0</f>
        <v>1</v>
      </c>
    </row>
    <row r="34" spans="1:5">
      <c r="A34" t="s">
        <v>26</v>
      </c>
      <c r="B34" t="s">
        <v>31</v>
      </c>
      <c r="C34" s="40">
        <f xml:space="preserve"> COUNTIFS(Tests!$A:$A,[Function], Tests!$C:$C,"Direct")</f>
        <v>0</v>
      </c>
      <c r="D34" s="40">
        <f xml:space="preserve"> COUNTIFS(Tests!$A:$A,[Function], Tests!$C:$C,"Indirect")</f>
        <v>0</v>
      </c>
      <c r="E34" s="40" t="b">
        <f xml:space="preserve"> [Direct Tests] + [Indirect Tests] &gt; 0</f>
        <v>0</v>
      </c>
    </row>
    <row r="35" spans="1:5">
      <c r="A35" t="s">
        <v>26</v>
      </c>
      <c r="B35" t="s">
        <v>51</v>
      </c>
      <c r="C35" s="40">
        <f xml:space="preserve"> COUNTIFS(Tests!$A:$A,[Function], Tests!$C:$C,"Direct")</f>
        <v>1</v>
      </c>
      <c r="D35" s="40">
        <f xml:space="preserve"> COUNTIFS(Tests!$A:$A,[Function], Tests!$C:$C,"Indirect")</f>
        <v>0</v>
      </c>
      <c r="E35" s="40" t="b">
        <f xml:space="preserve"> [Direct Tests] + [Indirect Tests] &gt; 0</f>
        <v>1</v>
      </c>
    </row>
    <row r="36" spans="1:5">
      <c r="A36" t="s">
        <v>26</v>
      </c>
      <c r="B36" t="s">
        <v>52</v>
      </c>
      <c r="C36" s="40">
        <f xml:space="preserve"> COUNTIFS(Tests!$A:$A,[Function], Tests!$C:$C,"Direct")</f>
        <v>1</v>
      </c>
      <c r="D36" s="40">
        <f xml:space="preserve"> COUNTIFS(Tests!$A:$A,[Function], Tests!$C:$C,"Indirect")</f>
        <v>0</v>
      </c>
      <c r="E36" s="40" t="b">
        <f xml:space="preserve"> [Direct Tests] + [Indirect Tests] &gt; 0</f>
        <v>1</v>
      </c>
    </row>
    <row r="37" spans="1:5">
      <c r="A37" t="s">
        <v>26</v>
      </c>
      <c r="B37" t="s">
        <v>29</v>
      </c>
      <c r="C37" s="40">
        <f xml:space="preserve"> COUNTIFS(Tests!$A:$A,[Function], Tests!$C:$C,"Direct")</f>
        <v>0</v>
      </c>
      <c r="D37" s="40">
        <f xml:space="preserve"> COUNTIFS(Tests!$A:$A,[Function], Tests!$C:$C,"Indirect")</f>
        <v>0</v>
      </c>
      <c r="E37" s="40" t="b">
        <f xml:space="preserve"> [Direct Tests] + [Indirect Tests] &gt; 0</f>
        <v>0</v>
      </c>
    </row>
    <row r="38" spans="1:5">
      <c r="A38" t="s">
        <v>26</v>
      </c>
      <c r="B38" t="s">
        <v>30</v>
      </c>
      <c r="C38" s="40">
        <f xml:space="preserve"> COUNTIFS(Tests!$A:$A,[Function], Tests!$C:$C,"Direct")</f>
        <v>0</v>
      </c>
      <c r="D38" s="40">
        <f xml:space="preserve"> COUNTIFS(Tests!$A:$A,[Function], Tests!$C:$C,"Indirect")</f>
        <v>0</v>
      </c>
      <c r="E38" s="40" t="b">
        <f xml:space="preserve"> [Direct Tests] + [Indirect Tests] &gt; 0</f>
        <v>0</v>
      </c>
    </row>
    <row r="39" spans="1:5">
      <c r="A39" t="s">
        <v>44</v>
      </c>
      <c r="B39" t="s">
        <v>100</v>
      </c>
      <c r="C39" s="40">
        <f xml:space="preserve"> COUNTIFS(Tests!$A:$A,[Function], Tests!$C:$C,"Direct")</f>
        <v>0</v>
      </c>
      <c r="D39" s="40">
        <f xml:space="preserve"> COUNTIFS(Tests!$A:$A,[Function], Tests!$C:$C,"Indirect")</f>
        <v>0</v>
      </c>
      <c r="E39" s="40" t="b">
        <f xml:space="preserve"> [Direct Tests] + [Indirect Tests] &gt; 0</f>
        <v>0</v>
      </c>
    </row>
    <row r="40" spans="1:5">
      <c r="A40" t="s">
        <v>44</v>
      </c>
      <c r="B40" t="s">
        <v>101</v>
      </c>
      <c r="C40" s="40">
        <f xml:space="preserve"> COUNTIFS(Tests!$A:$A,[Function], Tests!$C:$C,"Direct")</f>
        <v>0</v>
      </c>
      <c r="D40" s="40">
        <f xml:space="preserve"> COUNTIFS(Tests!$A:$A,[Function], Tests!$C:$C,"Indirect")</f>
        <v>0</v>
      </c>
      <c r="E40" s="40" t="b">
        <f xml:space="preserve"> [Direct Tests] + [Indirect Tests] &gt; 0</f>
        <v>0</v>
      </c>
    </row>
    <row r="41" spans="1:5">
      <c r="A41" t="s">
        <v>44</v>
      </c>
      <c r="B41" t="s">
        <v>102</v>
      </c>
      <c r="C41" s="40">
        <f xml:space="preserve"> COUNTIFS(Tests!$A:$A,[Function], Tests!$C:$C,"Direct")</f>
        <v>0</v>
      </c>
      <c r="D41" s="40">
        <f xml:space="preserve"> COUNTIFS(Tests!$A:$A,[Function], Tests!$C:$C,"Indirect")</f>
        <v>0</v>
      </c>
      <c r="E41" s="40" t="b">
        <f xml:space="preserve"> [Direct Tests] + [Indirect Tests] &gt; 0</f>
        <v>0</v>
      </c>
    </row>
    <row r="42" spans="1:5">
      <c r="A42" t="s">
        <v>44</v>
      </c>
      <c r="B42" t="s">
        <v>103</v>
      </c>
      <c r="C42" s="40">
        <f xml:space="preserve"> COUNTIFS(Tests!$A:$A,[Function], Tests!$C:$C,"Direct")</f>
        <v>0</v>
      </c>
      <c r="D42" s="40">
        <f xml:space="preserve"> COUNTIFS(Tests!$A:$A,[Function], Tests!$C:$C,"Indirect")</f>
        <v>1</v>
      </c>
      <c r="E42" s="40" t="b">
        <f xml:space="preserve"> [Direct Tests] + [Indirect Tests] &gt; 0</f>
        <v>1</v>
      </c>
    </row>
    <row r="43" spans="1:5">
      <c r="A43" t="s">
        <v>44</v>
      </c>
      <c r="B43" t="s">
        <v>104</v>
      </c>
      <c r="C43" s="40">
        <f xml:space="preserve"> COUNTIFS(Tests!$A:$A,[Function], Tests!$C:$C,"Direct")</f>
        <v>0</v>
      </c>
      <c r="D43" s="40">
        <f xml:space="preserve"> COUNTIFS(Tests!$A:$A,[Function], Tests!$C:$C,"Indirect")</f>
        <v>0</v>
      </c>
      <c r="E43" s="40" t="b">
        <f xml:space="preserve"> [Direct Tests] + [Indirect Tests] &gt; 0</f>
        <v>0</v>
      </c>
    </row>
    <row r="44" spans="1:5">
      <c r="A44" t="s">
        <v>44</v>
      </c>
      <c r="B44" t="s">
        <v>60</v>
      </c>
      <c r="C44" s="40">
        <f xml:space="preserve"> COUNTIFS(Tests!$A:$A,[Function], Tests!$C:$C,"Direct")</f>
        <v>0</v>
      </c>
      <c r="D44" s="40">
        <f xml:space="preserve"> COUNTIFS(Tests!$A:$A,[Function], Tests!$C:$C,"Indirect")</f>
        <v>1</v>
      </c>
      <c r="E44" s="40" t="b">
        <f xml:space="preserve"> [Direct Tests] + [Indirect Tests] &gt; 0</f>
        <v>1</v>
      </c>
    </row>
    <row r="45" spans="1:5">
      <c r="A45" t="s">
        <v>44</v>
      </c>
      <c r="B45" t="s">
        <v>105</v>
      </c>
      <c r="C45" s="40">
        <f xml:space="preserve"> COUNTIFS(Tests!$A:$A,[Function], Tests!$C:$C,"Direct")</f>
        <v>0</v>
      </c>
      <c r="D45" s="40">
        <f xml:space="preserve"> COUNTIFS(Tests!$A:$A,[Function], Tests!$C:$C,"Indirect")</f>
        <v>0</v>
      </c>
      <c r="E45" s="40" t="b">
        <f xml:space="preserve"> [Direct Tests] + [Indirect Tests] &gt; 0</f>
        <v>0</v>
      </c>
    </row>
    <row r="46" spans="1:5">
      <c r="A46" t="s">
        <v>44</v>
      </c>
      <c r="B46" t="s">
        <v>106</v>
      </c>
      <c r="C46" s="40">
        <f xml:space="preserve"> COUNTIFS(Tests!$A:$A,[Function], Tests!$C:$C,"Direct")</f>
        <v>0</v>
      </c>
      <c r="D46" s="40">
        <f xml:space="preserve"> COUNTIFS(Tests!$A:$A,[Function], Tests!$C:$C,"Indirect")</f>
        <v>0</v>
      </c>
      <c r="E46" s="40" t="b">
        <f xml:space="preserve"> [Direct Tests] + [Indirect Tests] &gt; 0</f>
        <v>0</v>
      </c>
    </row>
    <row r="47" spans="1:5">
      <c r="A47" t="s">
        <v>44</v>
      </c>
      <c r="B47" t="s">
        <v>107</v>
      </c>
      <c r="C47" s="40">
        <f xml:space="preserve"> COUNTIFS(Tests!$A:$A,[Function], Tests!$C:$C,"Direct")</f>
        <v>0</v>
      </c>
      <c r="D47" s="40">
        <f xml:space="preserve"> COUNTIFS(Tests!$A:$A,[Function], Tests!$C:$C,"Indirect")</f>
        <v>0</v>
      </c>
      <c r="E47" s="40" t="b">
        <f xml:space="preserve"> [Direct Tests] + [Indirect Tests] &gt; 0</f>
        <v>0</v>
      </c>
    </row>
    <row r="48" spans="1:5">
      <c r="A48" t="s">
        <v>44</v>
      </c>
      <c r="B48" t="s">
        <v>108</v>
      </c>
      <c r="C48" s="40">
        <f xml:space="preserve"> COUNTIFS(Tests!$A:$A,[Function], Tests!$C:$C,"Direct")</f>
        <v>0</v>
      </c>
      <c r="D48" s="40">
        <f xml:space="preserve"> COUNTIFS(Tests!$A:$A,[Function], Tests!$C:$C,"Indirect")</f>
        <v>0</v>
      </c>
      <c r="E48" s="40" t="b">
        <f xml:space="preserve"> [Direct Tests] + [Indirect Tests] &gt; 0</f>
        <v>0</v>
      </c>
    </row>
    <row r="49" spans="1:5">
      <c r="A49" t="s">
        <v>32</v>
      </c>
      <c r="B49" t="s">
        <v>33</v>
      </c>
      <c r="C49" s="40">
        <f xml:space="preserve"> COUNTIFS(Tests!$A:$A,[Function], Tests!$C:$C,"Direct")</f>
        <v>0</v>
      </c>
      <c r="D49" s="40">
        <f xml:space="preserve"> COUNTIFS(Tests!$A:$A,[Function], Tests!$C:$C,"Indirect")</f>
        <v>0</v>
      </c>
      <c r="E49" s="40" t="b">
        <f xml:space="preserve"> [Direct Tests] + [Indirect Tests] &gt; 0</f>
        <v>0</v>
      </c>
    </row>
    <row r="50" spans="1:5">
      <c r="A50" t="s">
        <v>32</v>
      </c>
      <c r="B50" t="s">
        <v>34</v>
      </c>
      <c r="C50" s="40">
        <f xml:space="preserve"> COUNTIFS(Tests!$A:$A,[Function], Tests!$C:$C,"Direct")</f>
        <v>0</v>
      </c>
      <c r="D50" s="40">
        <f xml:space="preserve"> COUNTIFS(Tests!$A:$A,[Function], Tests!$C:$C,"Indirect")</f>
        <v>0</v>
      </c>
      <c r="E50" s="40" t="b">
        <f xml:space="preserve"> [Direct Tests] + [Indirect Tests] &gt; 0</f>
        <v>0</v>
      </c>
    </row>
    <row r="51" spans="1:5">
      <c r="A51" t="s">
        <v>32</v>
      </c>
      <c r="B51" t="s">
        <v>35</v>
      </c>
      <c r="C51" s="40">
        <f xml:space="preserve"> COUNTIFS(Tests!$A:$A,[Function], Tests!$C:$C,"Direct")</f>
        <v>0</v>
      </c>
      <c r="D51" s="40">
        <f xml:space="preserve"> COUNTIFS(Tests!$A:$A,[Function], Tests!$C:$C,"Indirect")</f>
        <v>0</v>
      </c>
      <c r="E51" s="40" t="b">
        <f xml:space="preserve"> [Direct Tests] + [Indirect Tests] &gt; 0</f>
        <v>0</v>
      </c>
    </row>
    <row r="52" spans="1:5">
      <c r="A52" t="s">
        <v>32</v>
      </c>
      <c r="B52" t="s">
        <v>36</v>
      </c>
      <c r="C52" s="40">
        <f xml:space="preserve"> COUNTIFS(Tests!$A:$A,[Function], Tests!$C:$C,"Direct")</f>
        <v>0</v>
      </c>
      <c r="D52" s="40">
        <f xml:space="preserve"> COUNTIFS(Tests!$A:$A,[Function], Tests!$C:$C,"Indirect")</f>
        <v>0</v>
      </c>
      <c r="E52" s="40" t="b">
        <f xml:space="preserve"> [Direct Tests] + [Indirect Tests] &gt; 0</f>
        <v>0</v>
      </c>
    </row>
    <row r="53" spans="1:5">
      <c r="A53" t="s">
        <v>32</v>
      </c>
      <c r="B53" t="s">
        <v>37</v>
      </c>
      <c r="C53" s="40">
        <f xml:space="preserve"> COUNTIFS(Tests!$A:$A,[Function], Tests!$C:$C,"Direct")</f>
        <v>0</v>
      </c>
      <c r="D53" s="40">
        <f xml:space="preserve"> COUNTIFS(Tests!$A:$A,[Function], Tests!$C:$C,"Indirect")</f>
        <v>0</v>
      </c>
      <c r="E53" s="40" t="b">
        <f xml:space="preserve"> [Direct Tests] + [Indirect Tests] &gt; 0</f>
        <v>0</v>
      </c>
    </row>
    <row r="54" spans="1:5">
      <c r="A54" t="s">
        <v>32</v>
      </c>
      <c r="B54" t="s">
        <v>38</v>
      </c>
      <c r="C54" s="40">
        <f xml:space="preserve"> COUNTIFS(Tests!$A:$A,[Function], Tests!$C:$C,"Direct")</f>
        <v>0</v>
      </c>
      <c r="D54" s="40">
        <f xml:space="preserve"> COUNTIFS(Tests!$A:$A,[Function], Tests!$C:$C,"Indirect")</f>
        <v>0</v>
      </c>
      <c r="E54" s="40" t="b">
        <f xml:space="preserve"> [Direct Tests] + [Indirect Tests] &gt; 0</f>
        <v>0</v>
      </c>
    </row>
    <row r="55" spans="1:5">
      <c r="A55" t="s">
        <v>39</v>
      </c>
      <c r="B55" t="s">
        <v>40</v>
      </c>
      <c r="C55" s="40">
        <f xml:space="preserve"> COUNTIFS(Tests!$A:$A,[Function], Tests!$C:$C,"Direct")</f>
        <v>0</v>
      </c>
      <c r="D55" s="40">
        <f xml:space="preserve"> COUNTIFS(Tests!$A:$A,[Function], Tests!$C:$C,"Indirect")</f>
        <v>0</v>
      </c>
      <c r="E55" s="40" t="b">
        <f xml:space="preserve"> [Direct Tests] + [Indirect Tests] &gt; 0</f>
        <v>0</v>
      </c>
    </row>
    <row r="56" spans="1:5">
      <c r="A56" t="s">
        <v>39</v>
      </c>
      <c r="B56" t="s">
        <v>41</v>
      </c>
      <c r="C56" s="40">
        <f xml:space="preserve"> COUNTIFS(Tests!$A:$A,[Function], Tests!$C:$C,"Direct")</f>
        <v>0</v>
      </c>
      <c r="D56" s="40">
        <f xml:space="preserve"> COUNTIFS(Tests!$A:$A,[Function], Tests!$C:$C,"Indirect")</f>
        <v>0</v>
      </c>
      <c r="E56" s="40" t="b">
        <f xml:space="preserve"> [Direct Tests] + [Indirect Tests] &gt; 0</f>
        <v>0</v>
      </c>
    </row>
    <row r="57" spans="1:5">
      <c r="A57" s="16" t="s">
        <v>39</v>
      </c>
      <c r="B57" s="16" t="s">
        <v>42</v>
      </c>
      <c r="C57" s="45">
        <f xml:space="preserve"> COUNTIFS(Tests!$A:$A,[Function], Tests!$C:$C,"Direct")</f>
        <v>0</v>
      </c>
      <c r="D57" s="45">
        <f xml:space="preserve"> COUNTIFS(Tests!$A:$A,[Function], Tests!$C:$C,"Indirect")</f>
        <v>0</v>
      </c>
      <c r="E57" s="45" t="b">
        <f xml:space="preserve"> [Direct Tests] + [Indirect Tests] &gt; 0</f>
        <v>0</v>
      </c>
    </row>
    <row r="58" spans="1:5">
      <c r="A58" s="16" t="s">
        <v>39</v>
      </c>
      <c r="B58" s="16" t="s">
        <v>43</v>
      </c>
      <c r="C58" s="45">
        <f xml:space="preserve"> COUNTIFS(Tests!$A:$A,[Function], Tests!$C:$C,"Direct")</f>
        <v>0</v>
      </c>
      <c r="D58" s="45">
        <f xml:space="preserve"> COUNTIFS(Tests!$A:$A,[Function], Tests!$C:$C,"Indirect")</f>
        <v>0</v>
      </c>
      <c r="E58" s="45" t="b">
        <f xml:space="preserve"> [Direct Tests] + [Indirect Tests] &gt; 0</f>
        <v>0</v>
      </c>
    </row>
  </sheetData>
  <dataConsolidate/>
  <conditionalFormatting sqref="A1:E1048576">
    <cfRule type="expression" dxfId="4" priority="2">
      <formula xml:space="preserve"> ""&amp;$E1 = "FALSE"</formula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Tests</vt:lpstr>
      <vt:lpstr>Coverage</vt:lpstr>
      <vt:lpstr>FunctionsCovered</vt:lpstr>
      <vt:lpstr>FunctionsNotCovered</vt:lpstr>
      <vt:lpstr>MaxTestRow</vt:lpstr>
      <vt:lpstr>NumTestsFailing</vt:lpstr>
      <vt:lpstr>NumTestsPassing</vt:lpstr>
      <vt:lpstr>TestCategories</vt:lpstr>
      <vt:lpstr>TestNames</vt:lpstr>
      <vt:lpstr>TestResults</vt:lpstr>
      <vt:lpstr>TotalTests</vt:lpstr>
    </vt:vector>
  </TitlesOfParts>
  <Company>BlueCross BlueShield of Tennessee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Nylen</dc:creator>
  <cp:lastModifiedBy>James Nylen</cp:lastModifiedBy>
  <dcterms:created xsi:type="dcterms:W3CDTF">2012-03-02T15:49:50Z</dcterms:created>
  <dcterms:modified xsi:type="dcterms:W3CDTF">2012-12-06T21:27:35Z</dcterms:modified>
</cp:coreProperties>
</file>