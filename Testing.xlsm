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20" windowWidth="20610" windowHeight="11640"/>
  </bookViews>
  <sheets>
    <sheet name="Tests" sheetId="4" r:id="rId1"/>
    <sheet name="Coverage" sheetId="3" r:id="rId2"/>
  </sheets>
  <functionGroups/>
  <definedNames>
    <definedName name="NumTestsFailing">Tests!$G$3</definedName>
    <definedName name="NumTestsPassing">Tests!$G$2</definedName>
  </definedNames>
  <calcPr calcId="125725" concurrentManualCount="3"/>
</workbook>
</file>

<file path=xl/calcChain.xml><?xml version="1.0" encoding="utf-8"?>
<calcChain xmlns="http://schemas.openxmlformats.org/spreadsheetml/2006/main">
  <c r="F30" i="4"/>
  <c r="F29"/>
  <c r="F28"/>
  <c r="F27"/>
  <c r="F18"/>
  <c r="F17"/>
  <c r="H17" l="1"/>
  <c r="H18"/>
  <c r="H27"/>
  <c r="H28"/>
  <c r="H29"/>
  <c r="H30"/>
  <c r="C3" i="3"/>
  <c r="E3" s="1"/>
  <c r="D3"/>
  <c r="C4"/>
  <c r="E4" s="1"/>
  <c r="D4"/>
  <c r="C5"/>
  <c r="E5" s="1"/>
  <c r="D5"/>
  <c r="C6"/>
  <c r="E6" s="1"/>
  <c r="D6"/>
  <c r="C7"/>
  <c r="E7" s="1"/>
  <c r="D7"/>
  <c r="C8"/>
  <c r="E8" s="1"/>
  <c r="D8"/>
  <c r="C9"/>
  <c r="E9" s="1"/>
  <c r="D9"/>
  <c r="C10"/>
  <c r="E10" s="1"/>
  <c r="D10"/>
  <c r="C11"/>
  <c r="E11" s="1"/>
  <c r="D11"/>
  <c r="C12"/>
  <c r="E12" s="1"/>
  <c r="D12"/>
  <c r="C13"/>
  <c r="E13" s="1"/>
  <c r="D13"/>
  <c r="C14"/>
  <c r="E14" s="1"/>
  <c r="D14"/>
  <c r="C15"/>
  <c r="E15" s="1"/>
  <c r="D15"/>
  <c r="C16"/>
  <c r="E16" s="1"/>
  <c r="D16"/>
  <c r="C17"/>
  <c r="E17" s="1"/>
  <c r="D17"/>
  <c r="C18"/>
  <c r="E18" s="1"/>
  <c r="D18"/>
  <c r="C19"/>
  <c r="E19" s="1"/>
  <c r="D19"/>
  <c r="C20"/>
  <c r="E20" s="1"/>
  <c r="D20"/>
  <c r="C21"/>
  <c r="E21" s="1"/>
  <c r="D21"/>
  <c r="C22"/>
  <c r="E22" s="1"/>
  <c r="D22"/>
  <c r="C23"/>
  <c r="E23" s="1"/>
  <c r="D23"/>
  <c r="C24"/>
  <c r="E24" s="1"/>
  <c r="D24"/>
  <c r="C25"/>
  <c r="E25" s="1"/>
  <c r="D25"/>
  <c r="C26"/>
  <c r="E26" s="1"/>
  <c r="D26"/>
  <c r="C27"/>
  <c r="E27" s="1"/>
  <c r="D27"/>
  <c r="C28"/>
  <c r="E28" s="1"/>
  <c r="D28"/>
  <c r="C29"/>
  <c r="E29" s="1"/>
  <c r="D29"/>
  <c r="C30"/>
  <c r="E30" s="1"/>
  <c r="D30"/>
  <c r="C31"/>
  <c r="E31" s="1"/>
  <c r="D31"/>
  <c r="C32"/>
  <c r="E32" s="1"/>
  <c r="D32"/>
  <c r="C33"/>
  <c r="E33" s="1"/>
  <c r="D33"/>
  <c r="C34"/>
  <c r="E34" s="1"/>
  <c r="D34"/>
  <c r="C35"/>
  <c r="E35" s="1"/>
  <c r="D35"/>
  <c r="C36"/>
  <c r="E36" s="1"/>
  <c r="D36"/>
  <c r="C37"/>
  <c r="E37" s="1"/>
  <c r="D37"/>
  <c r="C38"/>
  <c r="E38" s="1"/>
  <c r="D38"/>
  <c r="C39"/>
  <c r="E39" s="1"/>
  <c r="D39"/>
  <c r="C40"/>
  <c r="E40" s="1"/>
  <c r="D40"/>
  <c r="C41"/>
  <c r="E41" s="1"/>
  <c r="D41"/>
  <c r="C42"/>
  <c r="E42" s="1"/>
  <c r="D42"/>
  <c r="C43"/>
  <c r="E43" s="1"/>
  <c r="D43"/>
  <c r="C44"/>
  <c r="E44" s="1"/>
  <c r="D44"/>
  <c r="C45"/>
  <c r="E45" s="1"/>
  <c r="D45"/>
  <c r="C46"/>
  <c r="E46" s="1"/>
  <c r="D46"/>
  <c r="C47"/>
  <c r="E47" s="1"/>
  <c r="D47"/>
  <c r="C48"/>
  <c r="E48" s="1"/>
  <c r="D48"/>
  <c r="C49"/>
  <c r="E49" s="1"/>
  <c r="D49"/>
  <c r="C50"/>
  <c r="E50" s="1"/>
  <c r="D50"/>
  <c r="C2"/>
  <c r="E2" s="1"/>
  <c r="D2"/>
  <c r="F10" i="4"/>
  <c r="F9"/>
  <c r="K19" a="1"/>
  <c r="H9" l="1"/>
  <c r="H10"/>
  <c r="K23"/>
  <c r="K20"/>
  <c r="K24"/>
  <c r="K21"/>
  <c r="K22"/>
  <c r="K19"/>
  <c r="F15"/>
  <c r="M24" a="1"/>
  <c r="H15" l="1"/>
  <c r="P24"/>
  <c r="Q24"/>
  <c r="N24"/>
  <c r="R24"/>
  <c r="O24"/>
  <c r="M24"/>
  <c r="F16"/>
  <c r="O12" a="1"/>
  <c r="H16" l="1"/>
  <c r="T12"/>
  <c r="Q12"/>
  <c r="S12"/>
  <c r="P12"/>
  <c r="R12"/>
  <c r="O12"/>
  <c r="F8"/>
  <c r="M7" a="1"/>
  <c r="H8" l="1"/>
  <c r="M10"/>
  <c r="M8"/>
  <c r="M11"/>
  <c r="M12"/>
  <c r="M9"/>
  <c r="M7"/>
  <c r="F7"/>
  <c r="H7" l="1"/>
  <c r="G3" l="1"/>
  <c r="G2"/>
</calcChain>
</file>

<file path=xl/sharedStrings.xml><?xml version="1.0" encoding="utf-8"?>
<sst xmlns="http://schemas.openxmlformats.org/spreadsheetml/2006/main" count="182" uniqueCount="98">
  <si>
    <t>Module</t>
  </si>
  <si>
    <t>Function</t>
  </si>
  <si>
    <t>ArrayUtils</t>
  </si>
  <si>
    <t>NormalizeArray</t>
  </si>
  <si>
    <t>Rank</t>
  </si>
  <si>
    <t>ArrayLen</t>
  </si>
  <si>
    <t>Test</t>
  </si>
  <si>
    <t>Expected</t>
  </si>
  <si>
    <t>ExcelUtils</t>
  </si>
  <si>
    <t>IsWorkbookOpen</t>
  </si>
  <si>
    <t>SheetExists</t>
  </si>
  <si>
    <t>ExcelCol</t>
  </si>
  <si>
    <t>ExcelColNum</t>
  </si>
  <si>
    <t>CellReference</t>
  </si>
  <si>
    <t>ExcelErrorType</t>
  </si>
  <si>
    <t>ShowStatusMessage</t>
  </si>
  <si>
    <t>FileUtils</t>
  </si>
  <si>
    <t>FolderExists</t>
  </si>
  <si>
    <t>FileExists</t>
  </si>
  <si>
    <t>CombinePaths</t>
  </si>
  <si>
    <t>NormalizePath</t>
  </si>
  <si>
    <t>GetDirectoryName</t>
  </si>
  <si>
    <t>GetFilename</t>
  </si>
  <si>
    <t>ListFiles</t>
  </si>
  <si>
    <t>ListFolders</t>
  </si>
  <si>
    <t>GetTempPath</t>
  </si>
  <si>
    <t>FormulaFunctions</t>
  </si>
  <si>
    <t>ArrayElement</t>
  </si>
  <si>
    <t>StringSplit</t>
  </si>
  <si>
    <t>RangeArray</t>
  </si>
  <si>
    <t>ColumnWidth</t>
  </si>
  <si>
    <t>RowHeight</t>
  </si>
  <si>
    <t>NewLine</t>
  </si>
  <si>
    <t>StringUtils</t>
  </si>
  <si>
    <t>StartsWith</t>
  </si>
  <si>
    <t>EndsWith</t>
  </si>
  <si>
    <t>SplitTrim</t>
  </si>
  <si>
    <t>TrimChars</t>
  </si>
  <si>
    <t>TrimLeadingChars</t>
  </si>
  <si>
    <t>TrimTrailingChars</t>
  </si>
  <si>
    <t>VBAUtils</t>
  </si>
  <si>
    <t>ModuleExists</t>
  </si>
  <si>
    <t>RemoveModule</t>
  </si>
  <si>
    <t>ExportModule</t>
  </si>
  <si>
    <t>ImportModule</t>
  </si>
  <si>
    <t>List</t>
  </si>
  <si>
    <t>get Item</t>
  </si>
  <si>
    <t>get Count</t>
  </si>
  <si>
    <t>get HasItems</t>
  </si>
  <si>
    <t>set Item</t>
  </si>
  <si>
    <t>Clear</t>
  </si>
  <si>
    <t>Add</t>
  </si>
  <si>
    <t>AddOnce</t>
  </si>
  <si>
    <t>AddRange</t>
  </si>
  <si>
    <t>AddRangeOnce</t>
  </si>
  <si>
    <t>Contains</t>
  </si>
  <si>
    <t>a</t>
  </si>
  <si>
    <t>b</t>
  </si>
  <si>
    <t>c</t>
  </si>
  <si>
    <t>QuickSort</t>
  </si>
  <si>
    <t>SortArrayInPlace</t>
  </si>
  <si>
    <t>SortArray</t>
  </si>
  <si>
    <t>GetUniqueItems</t>
  </si>
  <si>
    <t>GetArrayForFormula</t>
  </si>
  <si>
    <t>RangeToArray</t>
  </si>
  <si>
    <t>Direct</t>
  </si>
  <si>
    <t>Vertical list of items</t>
  </si>
  <si>
    <t>Vertical unique items from vertical list</t>
  </si>
  <si>
    <t>Horizontal unique items from vertical list</t>
  </si>
  <si>
    <t>Horizontal list of items</t>
  </si>
  <si>
    <t>Vertical unique items from horizontal list</t>
  </si>
  <si>
    <t>Horizontal unique items from horizontal list</t>
  </si>
  <si>
    <t>List.Add</t>
  </si>
  <si>
    <t>List.Items</t>
  </si>
  <si>
    <t>x</t>
  </si>
  <si>
    <t>Direct/Indirect Test</t>
  </si>
  <si>
    <t>Indirect</t>
  </si>
  <si>
    <t>Actual</t>
  </si>
  <si>
    <t>Category</t>
  </si>
  <si>
    <t>1,2,3,a,b,c</t>
  </si>
  <si>
    <t>Passing:</t>
  </si>
  <si>
    <t>Failing:</t>
  </si>
  <si>
    <t>Result</t>
  </si>
  <si>
    <t>To vertical range, then to string</t>
  </si>
  <si>
    <t>To horizontal range, then to string</t>
  </si>
  <si>
    <t>StringJoin</t>
  </si>
  <si>
    <t>To array, then to string</t>
  </si>
  <si>
    <t>To array, then get count</t>
  </si>
  <si>
    <t>Unique items, vertical range</t>
  </si>
  <si>
    <t>Unique items, horizontal range</t>
  </si>
  <si>
    <t>1,2,a,b,c,x</t>
  </si>
  <si>
    <t>Good sheet 1</t>
  </si>
  <si>
    <t>Good sheet 2</t>
  </si>
  <si>
    <t>Nonexistent sheet 1</t>
  </si>
  <si>
    <t>Bad sheet 1</t>
  </si>
  <si>
    <t>Direct Tests</t>
  </si>
  <si>
    <t>Indirect Tests</t>
  </si>
  <si>
    <t>Total Tests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</si>
</sst>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0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 applyBorder="1"/>
    <xf numFmtId="0" fontId="1" fillId="2" borderId="10" xfId="0" applyFont="1" applyFill="1" applyBorder="1" applyAlignment="1">
      <alignment horizontal="right"/>
    </xf>
    <xf numFmtId="0" fontId="0" fillId="2" borderId="12" xfId="0" applyFill="1" applyBorder="1" applyAlignment="1">
      <alignment horizontal="left"/>
    </xf>
    <xf numFmtId="0" fontId="1" fillId="2" borderId="15" xfId="0" applyFont="1" applyFill="1" applyBorder="1" applyAlignment="1">
      <alignment horizontal="right"/>
    </xf>
    <xf numFmtId="0" fontId="0" fillId="2" borderId="17" xfId="0" applyFill="1" applyBorder="1" applyAlignment="1">
      <alignment horizontal="left"/>
    </xf>
  </cellXfs>
  <cellStyles count="1">
    <cellStyle name="Normal" xfId="0" builtinId="0"/>
  </cellStyles>
  <dxfs count="3"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CC"/>
      <color rgb="FF008000"/>
      <color rgb="FF00660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3"/>
  <sheetViews>
    <sheetView tabSelected="1" workbookViewId="0"/>
  </sheetViews>
  <sheetFormatPr defaultRowHeight="15"/>
  <cols>
    <col min="1" max="1" width="23" customWidth="1"/>
    <col min="2" max="2" width="18.42578125" bestFit="1" customWidth="1"/>
    <col min="4" max="4" width="28.85546875" bestFit="1" customWidth="1"/>
    <col min="5" max="5" width="31.5703125" bestFit="1" customWidth="1"/>
    <col min="6" max="6" width="11.140625" customWidth="1"/>
    <col min="7" max="7" width="11.5703125" customWidth="1"/>
    <col min="8" max="8" width="9.140625" style="2"/>
    <col min="10" max="24" width="4.42578125" customWidth="1"/>
  </cols>
  <sheetData>
    <row r="1" spans="1:25" ht="15.75" thickBot="1">
      <c r="A1" s="1"/>
    </row>
    <row r="2" spans="1:25">
      <c r="C2" s="1"/>
      <c r="F2" s="36" t="s">
        <v>80</v>
      </c>
      <c r="G2" s="37">
        <f>COUNTIF(H:H, "PASS")</f>
        <v>12</v>
      </c>
      <c r="I2" s="1"/>
      <c r="J2" s="12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4"/>
    </row>
    <row r="3" spans="1:25" ht="15.75" thickBot="1">
      <c r="F3" s="38" t="s">
        <v>81</v>
      </c>
      <c r="G3" s="39">
        <f>COUNTIF(H:H, "FAIL")</f>
        <v>0</v>
      </c>
      <c r="J3" s="15"/>
      <c r="K3" s="28" t="s">
        <v>66</v>
      </c>
      <c r="L3" s="29"/>
      <c r="M3" s="29"/>
      <c r="N3" s="29"/>
      <c r="O3" s="30"/>
      <c r="P3" s="16"/>
      <c r="Q3" s="16"/>
      <c r="R3" s="16"/>
      <c r="S3" s="16"/>
      <c r="T3" s="16"/>
      <c r="U3" s="16"/>
      <c r="V3" s="16"/>
      <c r="W3" s="16"/>
      <c r="X3" s="17"/>
    </row>
    <row r="4" spans="1:25">
      <c r="J4" s="15"/>
      <c r="K4" s="31">
        <v>1</v>
      </c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7"/>
    </row>
    <row r="5" spans="1:25">
      <c r="A5" s="1" t="s">
        <v>1</v>
      </c>
      <c r="B5" s="1" t="s">
        <v>75</v>
      </c>
      <c r="D5" s="1" t="s">
        <v>78</v>
      </c>
      <c r="E5" s="1" t="s">
        <v>6</v>
      </c>
      <c r="F5" s="1" t="s">
        <v>77</v>
      </c>
      <c r="G5" s="1" t="s">
        <v>7</v>
      </c>
      <c r="H5" s="34" t="s">
        <v>82</v>
      </c>
      <c r="J5" s="15"/>
      <c r="K5" s="32">
        <v>2</v>
      </c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7"/>
    </row>
    <row r="6" spans="1:25">
      <c r="A6" s="1"/>
      <c r="B6" s="1"/>
      <c r="D6" s="1"/>
      <c r="E6" s="1"/>
      <c r="F6" s="1"/>
      <c r="G6" s="1"/>
      <c r="H6" s="34"/>
      <c r="I6" s="16"/>
      <c r="J6" s="15"/>
      <c r="K6" s="32">
        <v>2</v>
      </c>
      <c r="L6" s="16"/>
      <c r="M6" s="3" t="s">
        <v>67</v>
      </c>
      <c r="N6" s="4"/>
      <c r="O6" s="4"/>
      <c r="P6" s="4"/>
      <c r="Q6" s="4"/>
      <c r="R6" s="4"/>
      <c r="S6" s="4"/>
      <c r="T6" s="5"/>
      <c r="U6" s="16"/>
      <c r="V6" s="16"/>
      <c r="W6" s="16"/>
      <c r="X6" s="17"/>
      <c r="Y6" s="16"/>
    </row>
    <row r="7" spans="1:25">
      <c r="A7" t="s">
        <v>63</v>
      </c>
      <c r="B7" t="s">
        <v>65</v>
      </c>
      <c r="C7" s="16"/>
      <c r="D7" t="s">
        <v>88</v>
      </c>
      <c r="E7" t="s">
        <v>83</v>
      </c>
      <c r="F7" t="str">
        <f>StringJoin(RangeToArray($M$7:$M$12), ",")</f>
        <v>1,2,3,a,b,c</v>
      </c>
      <c r="G7" t="s">
        <v>79</v>
      </c>
      <c r="H7" s="2" t="str">
        <f>IF(IFERROR(""&amp;F7, ExcelErrorType(F7)) = IFERROR(""&amp;G7, ExcelErrorType(G7)), "PASS", "FAIL")</f>
        <v>PASS</v>
      </c>
      <c r="I7" s="16"/>
      <c r="J7" s="15"/>
      <c r="K7" s="32" t="s">
        <v>56</v>
      </c>
      <c r="L7" s="16"/>
      <c r="M7" s="6">
        <f t="array" ref="M7:M12">GetArrayForFormula(GetUniqueItems(RangeToArray($K$4:$K$12)))</f>
        <v>1</v>
      </c>
      <c r="N7" s="16"/>
      <c r="O7" s="16"/>
      <c r="P7" s="16"/>
      <c r="Q7" s="16"/>
      <c r="R7" s="16"/>
      <c r="S7" s="16"/>
      <c r="T7" s="16"/>
      <c r="U7" s="16"/>
      <c r="V7" s="16"/>
      <c r="W7" s="16"/>
      <c r="X7" s="17"/>
      <c r="Y7" s="16"/>
    </row>
    <row r="8" spans="1:25">
      <c r="A8" t="s">
        <v>62</v>
      </c>
      <c r="B8" t="s">
        <v>65</v>
      </c>
      <c r="C8" s="16"/>
      <c r="D8" t="s">
        <v>88</v>
      </c>
      <c r="E8" s="16" t="s">
        <v>84</v>
      </c>
      <c r="F8" s="16" t="str">
        <f>StringJoin(RangeToArray($O$12:$T$12), ",")</f>
        <v>1,2,3,a,b,c</v>
      </c>
      <c r="G8" t="s">
        <v>79</v>
      </c>
      <c r="H8" s="2" t="str">
        <f>IF(IFERROR(""&amp;F8, ExcelErrorType(F8)) = IFERROR(""&amp;G8, ExcelErrorType(G8)), "PASS", "FAIL")</f>
        <v>PASS</v>
      </c>
      <c r="I8" s="16"/>
      <c r="J8" s="15"/>
      <c r="K8" s="32" t="s">
        <v>57</v>
      </c>
      <c r="L8" s="16"/>
      <c r="M8" s="7">
        <v>2</v>
      </c>
      <c r="N8" s="16"/>
      <c r="O8" s="16"/>
      <c r="P8" s="16"/>
      <c r="Q8" s="16"/>
      <c r="R8" s="16"/>
      <c r="S8" s="16"/>
      <c r="T8" s="16"/>
      <c r="U8" s="16"/>
      <c r="V8" s="16"/>
      <c r="W8" s="16"/>
      <c r="X8" s="17"/>
      <c r="Y8" s="16"/>
    </row>
    <row r="9" spans="1:25">
      <c r="A9" t="s">
        <v>64</v>
      </c>
      <c r="B9" t="s">
        <v>65</v>
      </c>
      <c r="C9" s="16"/>
      <c r="D9" t="s">
        <v>88</v>
      </c>
      <c r="E9" s="35" t="s">
        <v>86</v>
      </c>
      <c r="F9" s="16" t="str">
        <f>StringJoin(GetUniqueItems(RangeToArray($K$4:$K$12)), ",")</f>
        <v>1,2,3,a,b,c</v>
      </c>
      <c r="G9" t="s">
        <v>79</v>
      </c>
      <c r="H9" s="2" t="str">
        <f>IF(IFERROR(""&amp;F9, ExcelErrorType(F9)) = IFERROR(""&amp;G9, ExcelErrorType(G9)), "PASS", "FAIL")</f>
        <v>PASS</v>
      </c>
      <c r="I9" s="16"/>
      <c r="J9" s="15"/>
      <c r="K9" s="32" t="s">
        <v>56</v>
      </c>
      <c r="L9" s="16"/>
      <c r="M9" s="7">
        <v>3</v>
      </c>
      <c r="N9" s="16"/>
      <c r="O9" s="16"/>
      <c r="P9" s="16"/>
      <c r="Q9" s="16"/>
      <c r="R9" s="16"/>
      <c r="S9" s="16"/>
      <c r="T9" s="16"/>
      <c r="U9" s="16"/>
      <c r="V9" s="16"/>
      <c r="W9" s="16"/>
      <c r="X9" s="17"/>
      <c r="Y9" s="16"/>
    </row>
    <row r="10" spans="1:25">
      <c r="A10" t="s">
        <v>3</v>
      </c>
      <c r="B10" t="s">
        <v>76</v>
      </c>
      <c r="C10" s="16"/>
      <c r="D10" t="s">
        <v>88</v>
      </c>
      <c r="E10" s="35" t="s">
        <v>87</v>
      </c>
      <c r="F10" s="16">
        <f>ArrayLen(GetUniqueItems(RangeToArray($K$4:$K$12)))</f>
        <v>6</v>
      </c>
      <c r="G10" s="16">
        <v>6</v>
      </c>
      <c r="H10" s="2" t="str">
        <f>IF(IFERROR(""&amp;F10, ExcelErrorType(F10)) = IFERROR(""&amp;G10, ExcelErrorType(G10)), "PASS", "FAIL")</f>
        <v>PASS</v>
      </c>
      <c r="I10" s="16"/>
      <c r="J10" s="15"/>
      <c r="K10" s="32" t="s">
        <v>58</v>
      </c>
      <c r="L10" s="16"/>
      <c r="M10" s="7" t="str">
        <v>a</v>
      </c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7"/>
      <c r="Y10" s="16"/>
    </row>
    <row r="11" spans="1:25">
      <c r="A11" t="s">
        <v>61</v>
      </c>
      <c r="B11" t="s">
        <v>76</v>
      </c>
      <c r="C11" s="16"/>
      <c r="F11" s="16"/>
      <c r="G11" s="35"/>
      <c r="I11" s="16"/>
      <c r="J11" s="15"/>
      <c r="K11" s="32" t="s">
        <v>57</v>
      </c>
      <c r="L11" s="16"/>
      <c r="M11" s="7" t="str">
        <v>b</v>
      </c>
      <c r="N11" s="16"/>
      <c r="O11" s="3" t="s">
        <v>68</v>
      </c>
      <c r="P11" s="4"/>
      <c r="Q11" s="4"/>
      <c r="R11" s="4"/>
      <c r="S11" s="4"/>
      <c r="T11" s="4"/>
      <c r="U11" s="4"/>
      <c r="V11" s="4"/>
      <c r="W11" s="5"/>
      <c r="X11" s="17"/>
      <c r="Y11" s="16"/>
    </row>
    <row r="12" spans="1:25">
      <c r="A12" t="s">
        <v>60</v>
      </c>
      <c r="B12" t="s">
        <v>76</v>
      </c>
      <c r="C12" s="16"/>
      <c r="E12" s="16"/>
      <c r="F12" s="16"/>
      <c r="G12" s="35"/>
      <c r="I12" s="16"/>
      <c r="J12" s="15"/>
      <c r="K12" s="33">
        <v>3</v>
      </c>
      <c r="L12" s="16"/>
      <c r="M12" s="8" t="str">
        <v>c</v>
      </c>
      <c r="N12" s="16"/>
      <c r="O12" s="9">
        <f t="array" ref="O12:T12">GetArrayForFormula(GetUniqueItems(RangeToArray($K$4:$K$12)))</f>
        <v>1</v>
      </c>
      <c r="P12" s="10">
        <v>2</v>
      </c>
      <c r="Q12" s="10">
        <v>3</v>
      </c>
      <c r="R12" s="10" t="str">
        <v>a</v>
      </c>
      <c r="S12" s="10" t="str">
        <v>b</v>
      </c>
      <c r="T12" s="11" t="str">
        <v>c</v>
      </c>
      <c r="U12" s="16"/>
      <c r="V12" s="16"/>
      <c r="W12" s="16"/>
      <c r="X12" s="17"/>
      <c r="Y12" s="16"/>
    </row>
    <row r="13" spans="1:25" ht="15.75" thickBot="1">
      <c r="A13" t="s">
        <v>59</v>
      </c>
      <c r="B13" t="s">
        <v>76</v>
      </c>
      <c r="C13" s="16"/>
      <c r="E13" s="35"/>
      <c r="F13" s="16"/>
      <c r="G13" s="35"/>
      <c r="I13" s="16"/>
      <c r="J13" s="19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1"/>
      <c r="Y13" s="16"/>
    </row>
    <row r="14" spans="1:25">
      <c r="A14" t="s">
        <v>72</v>
      </c>
      <c r="B14" t="s">
        <v>76</v>
      </c>
      <c r="C14" s="16"/>
      <c r="E14" s="35"/>
      <c r="F14" s="16"/>
      <c r="G14" s="16"/>
      <c r="I14" s="16"/>
      <c r="J14" s="12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4"/>
      <c r="Y14" s="16"/>
    </row>
    <row r="15" spans="1:25">
      <c r="A15" t="s">
        <v>73</v>
      </c>
      <c r="B15" t="s">
        <v>76</v>
      </c>
      <c r="C15" s="16"/>
      <c r="D15" t="s">
        <v>89</v>
      </c>
      <c r="E15" t="s">
        <v>83</v>
      </c>
      <c r="F15" s="16" t="str">
        <f>StringJoin(RangeToArray($K$19:$K$24), ",")</f>
        <v>1,2,a,b,c,x</v>
      </c>
      <c r="G15" s="35" t="s">
        <v>90</v>
      </c>
      <c r="H15" s="2" t="str">
        <f>IF(IFERROR(""&amp;F15, ExcelErrorType(F15)) = IFERROR(""&amp;G15, ExcelErrorType(G15)), "PASS", "FAIL")</f>
        <v>PASS</v>
      </c>
      <c r="I15" s="16"/>
      <c r="J15" s="15"/>
      <c r="K15" s="22" t="s">
        <v>69</v>
      </c>
      <c r="L15" s="23"/>
      <c r="M15" s="23"/>
      <c r="N15" s="23"/>
      <c r="O15" s="24"/>
      <c r="P15" s="16"/>
      <c r="Q15" s="16"/>
      <c r="R15" s="16"/>
      <c r="S15" s="16"/>
      <c r="T15" s="16"/>
      <c r="U15" s="16"/>
      <c r="V15" s="16"/>
      <c r="W15" s="16"/>
      <c r="X15" s="17"/>
      <c r="Y15" s="16"/>
    </row>
    <row r="16" spans="1:25">
      <c r="A16" t="s">
        <v>85</v>
      </c>
      <c r="B16" t="s">
        <v>65</v>
      </c>
      <c r="C16" s="16"/>
      <c r="D16" t="s">
        <v>89</v>
      </c>
      <c r="E16" s="16" t="s">
        <v>84</v>
      </c>
      <c r="F16" s="16" t="str">
        <f>StringJoin(RangeToArray($M$24:$R$24), ",")</f>
        <v>1,2,a,b,c,x</v>
      </c>
      <c r="G16" s="35" t="s">
        <v>90</v>
      </c>
      <c r="H16" s="2" t="str">
        <f>IF(IFERROR(""&amp;F16, ExcelErrorType(F16)) = IFERROR(""&amp;G16, ExcelErrorType(G16)), "PASS", "FAIL")</f>
        <v>PASS</v>
      </c>
      <c r="I16" s="16"/>
      <c r="J16" s="15"/>
      <c r="K16" s="25">
        <v>2</v>
      </c>
      <c r="L16" s="26">
        <v>1</v>
      </c>
      <c r="M16" s="26" t="s">
        <v>58</v>
      </c>
      <c r="N16" s="26" t="s">
        <v>74</v>
      </c>
      <c r="O16" s="26" t="s">
        <v>57</v>
      </c>
      <c r="P16" s="26" t="s">
        <v>56</v>
      </c>
      <c r="Q16" s="26" t="s">
        <v>58</v>
      </c>
      <c r="R16" s="26" t="s">
        <v>57</v>
      </c>
      <c r="S16" s="27" t="s">
        <v>74</v>
      </c>
      <c r="T16" s="16"/>
      <c r="U16" s="16"/>
      <c r="V16" s="16"/>
      <c r="W16" s="16"/>
      <c r="X16" s="17"/>
      <c r="Y16" s="16"/>
    </row>
    <row r="17" spans="1:25">
      <c r="C17" s="16"/>
      <c r="D17" t="s">
        <v>89</v>
      </c>
      <c r="E17" s="35" t="s">
        <v>86</v>
      </c>
      <c r="F17" s="16" t="str">
        <f>StringJoin(GetUniqueItems(RangeToArray($K$16:$S$16)), ",")</f>
        <v>1,2,a,b,c,x</v>
      </c>
      <c r="G17" s="35" t="s">
        <v>90</v>
      </c>
      <c r="H17" s="2" t="str">
        <f>IF(IFERROR(""&amp;F17, ExcelErrorType(F17)) = IFERROR(""&amp;G17, ExcelErrorType(G17)), "PASS", "FAIL")</f>
        <v>PASS</v>
      </c>
      <c r="I17" s="16"/>
      <c r="J17" s="15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7"/>
      <c r="Y17" s="16"/>
    </row>
    <row r="18" spans="1:25">
      <c r="C18" s="16"/>
      <c r="D18" t="s">
        <v>89</v>
      </c>
      <c r="E18" s="35" t="s">
        <v>87</v>
      </c>
      <c r="F18" s="16">
        <f>ArrayLen(GetUniqueItems(RangeToArray($K$16:$S$16)))</f>
        <v>6</v>
      </c>
      <c r="G18" s="16">
        <v>6</v>
      </c>
      <c r="H18" s="2" t="str">
        <f>IF(IFERROR(""&amp;F18, ExcelErrorType(F18)) = IFERROR(""&amp;G18, ExcelErrorType(G18)), "PASS", "FAIL")</f>
        <v>PASS</v>
      </c>
      <c r="I18" s="16"/>
      <c r="J18" s="15"/>
      <c r="K18" s="3" t="s">
        <v>70</v>
      </c>
      <c r="L18" s="4"/>
      <c r="M18" s="4"/>
      <c r="N18" s="4"/>
      <c r="O18" s="4"/>
      <c r="P18" s="4"/>
      <c r="Q18" s="4"/>
      <c r="R18" s="4"/>
      <c r="S18" s="5"/>
      <c r="T18" s="16"/>
      <c r="U18" s="16"/>
      <c r="V18" s="16"/>
      <c r="W18" s="16"/>
      <c r="X18" s="17"/>
      <c r="Y18" s="16"/>
    </row>
    <row r="19" spans="1:25">
      <c r="C19" s="16"/>
      <c r="D19" s="16"/>
      <c r="E19" s="16"/>
      <c r="F19" s="16"/>
      <c r="G19" s="16"/>
      <c r="H19" s="18"/>
      <c r="I19" s="16"/>
      <c r="J19" s="15"/>
      <c r="K19" s="6">
        <f t="array" ref="K19:K24">GetArrayForFormula(GetUniqueItems(RangeToArray($K$16:$S$16)))</f>
        <v>1</v>
      </c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7"/>
      <c r="Y19" s="16"/>
    </row>
    <row r="20" spans="1:25">
      <c r="C20" s="16"/>
      <c r="D20" s="16"/>
      <c r="E20" s="16"/>
      <c r="F20" s="16"/>
      <c r="G20" s="16"/>
      <c r="H20" s="18"/>
      <c r="I20" s="16"/>
      <c r="J20" s="15"/>
      <c r="K20" s="7">
        <v>2</v>
      </c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7"/>
      <c r="Y20" s="16"/>
    </row>
    <row r="21" spans="1:25">
      <c r="C21" s="16"/>
      <c r="D21" s="16"/>
      <c r="E21" s="16"/>
      <c r="F21" s="16"/>
      <c r="G21" s="16"/>
      <c r="H21" s="18"/>
      <c r="I21" s="16"/>
      <c r="J21" s="15"/>
      <c r="K21" s="7" t="str">
        <v>a</v>
      </c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7"/>
      <c r="Y21" s="16"/>
    </row>
    <row r="22" spans="1:25">
      <c r="C22" s="16"/>
      <c r="D22" s="16"/>
      <c r="E22" s="16"/>
      <c r="F22" s="16"/>
      <c r="G22" s="16"/>
      <c r="H22" s="18"/>
      <c r="I22" s="16"/>
      <c r="J22" s="15"/>
      <c r="K22" s="7" t="str">
        <v>b</v>
      </c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7"/>
      <c r="Y22" s="16"/>
    </row>
    <row r="23" spans="1:25">
      <c r="C23" s="16"/>
      <c r="D23" s="16"/>
      <c r="E23" s="16"/>
      <c r="F23" s="16"/>
      <c r="G23" s="16"/>
      <c r="H23" s="18"/>
      <c r="I23" s="16"/>
      <c r="J23" s="15"/>
      <c r="K23" s="7" t="str">
        <v>c</v>
      </c>
      <c r="L23" s="16"/>
      <c r="M23" s="3" t="s">
        <v>71</v>
      </c>
      <c r="N23" s="4"/>
      <c r="O23" s="4"/>
      <c r="P23" s="4"/>
      <c r="Q23" s="4"/>
      <c r="R23" s="4"/>
      <c r="S23" s="4"/>
      <c r="T23" s="4"/>
      <c r="U23" s="5"/>
      <c r="V23" s="16"/>
      <c r="W23" s="16"/>
      <c r="X23" s="17"/>
      <c r="Y23" s="16"/>
    </row>
    <row r="24" spans="1:25">
      <c r="C24" s="16"/>
      <c r="D24" s="16"/>
      <c r="E24" s="16"/>
      <c r="F24" s="16"/>
      <c r="G24" s="16"/>
      <c r="H24" s="18"/>
      <c r="I24" s="16"/>
      <c r="J24" s="15"/>
      <c r="K24" s="8" t="str">
        <v>x</v>
      </c>
      <c r="L24" s="16"/>
      <c r="M24" s="9">
        <f t="array" ref="M24:R24">GetArrayForFormula(GetUniqueItems(RangeToArray($K$16:$S$16)))</f>
        <v>1</v>
      </c>
      <c r="N24" s="10">
        <v>2</v>
      </c>
      <c r="O24" s="10" t="str">
        <v>a</v>
      </c>
      <c r="P24" s="10" t="str">
        <v>b</v>
      </c>
      <c r="Q24" s="10" t="str">
        <v>c</v>
      </c>
      <c r="R24" s="11" t="str">
        <v>x</v>
      </c>
      <c r="S24" s="16"/>
      <c r="T24" s="16"/>
      <c r="U24" s="16"/>
      <c r="V24" s="16"/>
      <c r="W24" s="16"/>
      <c r="X24" s="17"/>
      <c r="Y24" s="16"/>
    </row>
    <row r="25" spans="1:25" ht="15.75" thickBot="1">
      <c r="C25" s="16"/>
      <c r="D25" s="16"/>
      <c r="E25" s="16"/>
      <c r="F25" s="16"/>
      <c r="G25" s="16"/>
      <c r="H25" s="18"/>
      <c r="I25" s="16"/>
      <c r="J25" s="19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1"/>
      <c r="Y25" s="16"/>
    </row>
    <row r="26" spans="1:25">
      <c r="C26" s="16"/>
      <c r="D26" s="16"/>
      <c r="E26" s="16"/>
      <c r="F26" s="16"/>
      <c r="G26" s="16"/>
      <c r="H26" s="18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</row>
    <row r="27" spans="1:25">
      <c r="A27" t="s">
        <v>10</v>
      </c>
      <c r="B27" t="s">
        <v>65</v>
      </c>
      <c r="C27" s="16"/>
      <c r="D27" s="16" t="s">
        <v>10</v>
      </c>
      <c r="E27" s="16" t="s">
        <v>91</v>
      </c>
      <c r="F27" s="16" t="b">
        <f>SheetExists("Tests")</f>
        <v>1</v>
      </c>
      <c r="G27" s="16" t="b">
        <v>1</v>
      </c>
      <c r="H27" s="2" t="str">
        <f>IF(IFERROR(""&amp;F27, ExcelErrorType(F27)) = IFERROR(""&amp;G27, ExcelErrorType(G27)), "PASS", "FAIL")</f>
        <v>PASS</v>
      </c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</row>
    <row r="28" spans="1:25">
      <c r="C28" s="16"/>
      <c r="D28" s="16" t="s">
        <v>10</v>
      </c>
      <c r="E28" s="16" t="s">
        <v>92</v>
      </c>
      <c r="F28" s="16" t="b">
        <f>SheetExists("Coverage")</f>
        <v>1</v>
      </c>
      <c r="G28" s="16" t="b">
        <v>1</v>
      </c>
      <c r="H28" s="2" t="str">
        <f>IF(IFERROR(""&amp;F28, ExcelErrorType(F28)) = IFERROR(""&amp;G28, ExcelErrorType(G28)), "PASS", "FAIL")</f>
        <v>PASS</v>
      </c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</row>
    <row r="29" spans="1:25">
      <c r="C29" s="16"/>
      <c r="D29" s="16" t="s">
        <v>10</v>
      </c>
      <c r="E29" s="16" t="s">
        <v>93</v>
      </c>
      <c r="F29" s="16" t="b">
        <f>SheetExists("SomeSheetName")</f>
        <v>0</v>
      </c>
      <c r="G29" s="16" t="b">
        <v>0</v>
      </c>
      <c r="H29" s="2" t="str">
        <f>IF(IFERROR(""&amp;F29, ExcelErrorType(F29)) = IFERROR(""&amp;G29, ExcelErrorType(G29)), "PASS", "FAIL")</f>
        <v>PASS</v>
      </c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</row>
    <row r="30" spans="1:25">
      <c r="C30" s="16"/>
      <c r="D30" s="16" t="s">
        <v>10</v>
      </c>
      <c r="E30" s="35" t="s">
        <v>94</v>
      </c>
      <c r="F30" s="16" t="b">
        <f>SheetExists("Bad/Sheet/Name")</f>
        <v>0</v>
      </c>
      <c r="G30" s="35" t="b">
        <v>0</v>
      </c>
      <c r="H30" s="2" t="str">
        <f>IF(IFERROR(""&amp;F30, ExcelErrorType(F30)) = IFERROR(""&amp;G30, ExcelErrorType(G30)), "PASS", "FAIL")</f>
        <v>PASS</v>
      </c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</row>
    <row r="31" spans="1:25">
      <c r="C31" s="16"/>
      <c r="D31" s="16"/>
      <c r="E31" s="16"/>
      <c r="F31" s="16"/>
      <c r="G31" s="16"/>
      <c r="H31" s="18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</row>
    <row r="32" spans="1:25">
      <c r="C32" s="16"/>
      <c r="D32" s="16"/>
      <c r="E32" s="16"/>
      <c r="F32" s="16"/>
      <c r="G32" s="16"/>
      <c r="H32" s="18"/>
    </row>
    <row r="33" spans="4:8">
      <c r="D33" s="16"/>
      <c r="E33" s="16"/>
      <c r="F33" s="16"/>
      <c r="G33" s="16"/>
      <c r="H33" s="18"/>
    </row>
  </sheetData>
  <conditionalFormatting sqref="H7:H10002">
    <cfRule type="cellIs" dxfId="2" priority="1" operator="equal">
      <formula>"FAIL"</formula>
    </cfRule>
    <cfRule type="cellIs" dxfId="1" priority="2" operator="equal">
      <formula>"PASS"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E50"/>
  <sheetViews>
    <sheetView workbookViewId="0"/>
  </sheetViews>
  <sheetFormatPr defaultRowHeight="15"/>
  <cols>
    <col min="1" max="1" width="25.140625" customWidth="1"/>
    <col min="2" max="2" width="31.28515625" customWidth="1"/>
    <col min="3" max="3" width="15.140625" bestFit="1" customWidth="1"/>
    <col min="4" max="4" width="16.7109375" bestFit="1" customWidth="1"/>
    <col min="5" max="5" width="10.42578125" bestFit="1" customWidth="1"/>
  </cols>
  <sheetData>
    <row r="1" spans="1:5">
      <c r="A1" s="1" t="s">
        <v>0</v>
      </c>
      <c r="B1" s="1" t="s">
        <v>1</v>
      </c>
      <c r="C1" s="1" t="s">
        <v>95</v>
      </c>
      <c r="D1" s="1" t="s">
        <v>96</v>
      </c>
      <c r="E1" s="1" t="s">
        <v>97</v>
      </c>
    </row>
    <row r="2" spans="1:5">
      <c r="A2" t="s">
        <v>2</v>
      </c>
      <c r="B2" t="s">
        <v>3</v>
      </c>
      <c r="C2">
        <f>COUNTIFS(Tests!$A:$A,$B2, Tests!$B:$B,"Direct")</f>
        <v>0</v>
      </c>
      <c r="D2">
        <f>COUNTIFS(Tests!$A:$A,$B2, Tests!$B:$B,"Indirect")</f>
        <v>1</v>
      </c>
      <c r="E2">
        <f>C2+D2</f>
        <v>1</v>
      </c>
    </row>
    <row r="3" spans="1:5">
      <c r="A3" t="s">
        <v>2</v>
      </c>
      <c r="B3" t="s">
        <v>4</v>
      </c>
      <c r="C3">
        <f>COUNTIFS(Tests!$A:$A,$B3, Tests!$B:$B,"Direct")</f>
        <v>0</v>
      </c>
      <c r="D3">
        <f>COUNTIFS(Tests!$A:$A,$B3, Tests!$B:$B,"Indirect")</f>
        <v>0</v>
      </c>
      <c r="E3">
        <f t="shared" ref="E3:E50" si="0">C3+D3</f>
        <v>0</v>
      </c>
    </row>
    <row r="4" spans="1:5">
      <c r="A4" t="s">
        <v>2</v>
      </c>
      <c r="B4" t="s">
        <v>5</v>
      </c>
      <c r="C4">
        <f>COUNTIFS(Tests!$A:$A,$B4, Tests!$B:$B,"Direct")</f>
        <v>0</v>
      </c>
      <c r="D4">
        <f>COUNTIFS(Tests!$A:$A,$B4, Tests!$B:$B,"Indirect")</f>
        <v>0</v>
      </c>
      <c r="E4">
        <f t="shared" si="0"/>
        <v>0</v>
      </c>
    </row>
    <row r="5" spans="1:5">
      <c r="A5" t="s">
        <v>2</v>
      </c>
      <c r="B5" t="s">
        <v>59</v>
      </c>
      <c r="C5">
        <f>COUNTIFS(Tests!$A:$A,$B5, Tests!$B:$B,"Direct")</f>
        <v>0</v>
      </c>
      <c r="D5">
        <f>COUNTIFS(Tests!$A:$A,$B5, Tests!$B:$B,"Indirect")</f>
        <v>1</v>
      </c>
      <c r="E5">
        <f t="shared" si="0"/>
        <v>1</v>
      </c>
    </row>
    <row r="6" spans="1:5">
      <c r="A6" t="s">
        <v>2</v>
      </c>
      <c r="B6" t="s">
        <v>60</v>
      </c>
      <c r="C6">
        <f>COUNTIFS(Tests!$A:$A,$B6, Tests!$B:$B,"Direct")</f>
        <v>0</v>
      </c>
      <c r="D6">
        <f>COUNTIFS(Tests!$A:$A,$B6, Tests!$B:$B,"Indirect")</f>
        <v>1</v>
      </c>
      <c r="E6">
        <f t="shared" si="0"/>
        <v>1</v>
      </c>
    </row>
    <row r="7" spans="1:5">
      <c r="A7" t="s">
        <v>2</v>
      </c>
      <c r="B7" t="s">
        <v>61</v>
      </c>
      <c r="C7">
        <f>COUNTIFS(Tests!$A:$A,$B7, Tests!$B:$B,"Direct")</f>
        <v>0</v>
      </c>
      <c r="D7">
        <f>COUNTIFS(Tests!$A:$A,$B7, Tests!$B:$B,"Indirect")</f>
        <v>1</v>
      </c>
      <c r="E7">
        <f t="shared" si="0"/>
        <v>1</v>
      </c>
    </row>
    <row r="8" spans="1:5">
      <c r="A8" t="s">
        <v>2</v>
      </c>
      <c r="B8" t="s">
        <v>62</v>
      </c>
      <c r="C8">
        <f>COUNTIFS(Tests!$A:$A,$B8, Tests!$B:$B,"Direct")</f>
        <v>1</v>
      </c>
      <c r="D8">
        <f>COUNTIFS(Tests!$A:$A,$B8, Tests!$B:$B,"Indirect")</f>
        <v>0</v>
      </c>
      <c r="E8">
        <f t="shared" si="0"/>
        <v>1</v>
      </c>
    </row>
    <row r="9" spans="1:5">
      <c r="A9" t="s">
        <v>8</v>
      </c>
      <c r="B9" t="s">
        <v>9</v>
      </c>
      <c r="C9">
        <f>COUNTIFS(Tests!$A:$A,$B9, Tests!$B:$B,"Direct")</f>
        <v>0</v>
      </c>
      <c r="D9">
        <f>COUNTIFS(Tests!$A:$A,$B9, Tests!$B:$B,"Indirect")</f>
        <v>0</v>
      </c>
      <c r="E9">
        <f t="shared" si="0"/>
        <v>0</v>
      </c>
    </row>
    <row r="10" spans="1:5">
      <c r="A10" t="s">
        <v>8</v>
      </c>
      <c r="B10" t="s">
        <v>10</v>
      </c>
      <c r="C10">
        <f>COUNTIFS(Tests!$A:$A,$B10, Tests!$B:$B,"Direct")</f>
        <v>1</v>
      </c>
      <c r="D10">
        <f>COUNTIFS(Tests!$A:$A,$B10, Tests!$B:$B,"Indirect")</f>
        <v>0</v>
      </c>
      <c r="E10">
        <f t="shared" si="0"/>
        <v>1</v>
      </c>
    </row>
    <row r="11" spans="1:5">
      <c r="A11" t="s">
        <v>8</v>
      </c>
      <c r="B11" t="s">
        <v>11</v>
      </c>
      <c r="C11">
        <f>COUNTIFS(Tests!$A:$A,$B11, Tests!$B:$B,"Direct")</f>
        <v>0</v>
      </c>
      <c r="D11">
        <f>COUNTIFS(Tests!$A:$A,$B11, Tests!$B:$B,"Indirect")</f>
        <v>0</v>
      </c>
      <c r="E11">
        <f t="shared" si="0"/>
        <v>0</v>
      </c>
    </row>
    <row r="12" spans="1:5">
      <c r="A12" t="s">
        <v>8</v>
      </c>
      <c r="B12" t="s">
        <v>12</v>
      </c>
      <c r="C12">
        <f>COUNTIFS(Tests!$A:$A,$B12, Tests!$B:$B,"Direct")</f>
        <v>0</v>
      </c>
      <c r="D12">
        <f>COUNTIFS(Tests!$A:$A,$B12, Tests!$B:$B,"Indirect")</f>
        <v>0</v>
      </c>
      <c r="E12">
        <f t="shared" si="0"/>
        <v>0</v>
      </c>
    </row>
    <row r="13" spans="1:5">
      <c r="A13" t="s">
        <v>8</v>
      </c>
      <c r="B13" t="s">
        <v>13</v>
      </c>
      <c r="C13">
        <f>COUNTIFS(Tests!$A:$A,$B13, Tests!$B:$B,"Direct")</f>
        <v>0</v>
      </c>
      <c r="D13">
        <f>COUNTIFS(Tests!$A:$A,$B13, Tests!$B:$B,"Indirect")</f>
        <v>0</v>
      </c>
      <c r="E13">
        <f t="shared" si="0"/>
        <v>0</v>
      </c>
    </row>
    <row r="14" spans="1:5">
      <c r="A14" t="s">
        <v>8</v>
      </c>
      <c r="B14" t="s">
        <v>14</v>
      </c>
      <c r="C14">
        <f>COUNTIFS(Tests!$A:$A,$B14, Tests!$B:$B,"Direct")</f>
        <v>0</v>
      </c>
      <c r="D14">
        <f>COUNTIFS(Tests!$A:$A,$B14, Tests!$B:$B,"Indirect")</f>
        <v>0</v>
      </c>
      <c r="E14">
        <f t="shared" si="0"/>
        <v>0</v>
      </c>
    </row>
    <row r="15" spans="1:5">
      <c r="A15" t="s">
        <v>8</v>
      </c>
      <c r="B15" t="s">
        <v>15</v>
      </c>
      <c r="C15">
        <f>COUNTIFS(Tests!$A:$A,$B15, Tests!$B:$B,"Direct")</f>
        <v>0</v>
      </c>
      <c r="D15">
        <f>COUNTIFS(Tests!$A:$A,$B15, Tests!$B:$B,"Indirect")</f>
        <v>0</v>
      </c>
      <c r="E15">
        <f t="shared" si="0"/>
        <v>0</v>
      </c>
    </row>
    <row r="16" spans="1:5">
      <c r="A16" t="s">
        <v>16</v>
      </c>
      <c r="B16" t="s">
        <v>18</v>
      </c>
      <c r="C16">
        <f>COUNTIFS(Tests!$A:$A,$B16, Tests!$B:$B,"Direct")</f>
        <v>0</v>
      </c>
      <c r="D16">
        <f>COUNTIFS(Tests!$A:$A,$B16, Tests!$B:$B,"Indirect")</f>
        <v>0</v>
      </c>
      <c r="E16">
        <f t="shared" si="0"/>
        <v>0</v>
      </c>
    </row>
    <row r="17" spans="1:5">
      <c r="A17" t="s">
        <v>16</v>
      </c>
      <c r="B17" t="s">
        <v>17</v>
      </c>
      <c r="C17">
        <f>COUNTIFS(Tests!$A:$A,$B17, Tests!$B:$B,"Direct")</f>
        <v>0</v>
      </c>
      <c r="D17">
        <f>COUNTIFS(Tests!$A:$A,$B17, Tests!$B:$B,"Indirect")</f>
        <v>0</v>
      </c>
      <c r="E17">
        <f t="shared" si="0"/>
        <v>0</v>
      </c>
    </row>
    <row r="18" spans="1:5">
      <c r="A18" t="s">
        <v>16</v>
      </c>
      <c r="B18" t="s">
        <v>19</v>
      </c>
      <c r="C18">
        <f>COUNTIFS(Tests!$A:$A,$B18, Tests!$B:$B,"Direct")</f>
        <v>0</v>
      </c>
      <c r="D18">
        <f>COUNTIFS(Tests!$A:$A,$B18, Tests!$B:$B,"Indirect")</f>
        <v>0</v>
      </c>
      <c r="E18">
        <f t="shared" si="0"/>
        <v>0</v>
      </c>
    </row>
    <row r="19" spans="1:5">
      <c r="A19" t="s">
        <v>16</v>
      </c>
      <c r="B19" t="s">
        <v>20</v>
      </c>
      <c r="C19">
        <f>COUNTIFS(Tests!$A:$A,$B19, Tests!$B:$B,"Direct")</f>
        <v>0</v>
      </c>
      <c r="D19">
        <f>COUNTIFS(Tests!$A:$A,$B19, Tests!$B:$B,"Indirect")</f>
        <v>0</v>
      </c>
      <c r="E19">
        <f t="shared" si="0"/>
        <v>0</v>
      </c>
    </row>
    <row r="20" spans="1:5">
      <c r="A20" t="s">
        <v>16</v>
      </c>
      <c r="B20" t="s">
        <v>21</v>
      </c>
      <c r="C20">
        <f>COUNTIFS(Tests!$A:$A,$B20, Tests!$B:$B,"Direct")</f>
        <v>0</v>
      </c>
      <c r="D20">
        <f>COUNTIFS(Tests!$A:$A,$B20, Tests!$B:$B,"Indirect")</f>
        <v>0</v>
      </c>
      <c r="E20">
        <f t="shared" si="0"/>
        <v>0</v>
      </c>
    </row>
    <row r="21" spans="1:5">
      <c r="A21" t="s">
        <v>16</v>
      </c>
      <c r="B21" t="s">
        <v>22</v>
      </c>
      <c r="C21">
        <f>COUNTIFS(Tests!$A:$A,$B21, Tests!$B:$B,"Direct")</f>
        <v>0</v>
      </c>
      <c r="D21">
        <f>COUNTIFS(Tests!$A:$A,$B21, Tests!$B:$B,"Indirect")</f>
        <v>0</v>
      </c>
      <c r="E21">
        <f t="shared" si="0"/>
        <v>0</v>
      </c>
    </row>
    <row r="22" spans="1:5">
      <c r="A22" t="s">
        <v>16</v>
      </c>
      <c r="B22" t="s">
        <v>23</v>
      </c>
      <c r="C22">
        <f>COUNTIFS(Tests!$A:$A,$B22, Tests!$B:$B,"Direct")</f>
        <v>0</v>
      </c>
      <c r="D22">
        <f>COUNTIFS(Tests!$A:$A,$B22, Tests!$B:$B,"Indirect")</f>
        <v>0</v>
      </c>
      <c r="E22">
        <f t="shared" si="0"/>
        <v>0</v>
      </c>
    </row>
    <row r="23" spans="1:5">
      <c r="A23" t="s">
        <v>16</v>
      </c>
      <c r="B23" t="s">
        <v>24</v>
      </c>
      <c r="C23">
        <f>COUNTIFS(Tests!$A:$A,$B23, Tests!$B:$B,"Direct")</f>
        <v>0</v>
      </c>
      <c r="D23">
        <f>COUNTIFS(Tests!$A:$A,$B23, Tests!$B:$B,"Indirect")</f>
        <v>0</v>
      </c>
      <c r="E23">
        <f t="shared" si="0"/>
        <v>0</v>
      </c>
    </row>
    <row r="24" spans="1:5">
      <c r="A24" t="s">
        <v>16</v>
      </c>
      <c r="B24" t="s">
        <v>25</v>
      </c>
      <c r="C24">
        <f>COUNTIFS(Tests!$A:$A,$B24, Tests!$B:$B,"Direct")</f>
        <v>0</v>
      </c>
      <c r="D24">
        <f>COUNTIFS(Tests!$A:$A,$B24, Tests!$B:$B,"Indirect")</f>
        <v>0</v>
      </c>
      <c r="E24">
        <f t="shared" si="0"/>
        <v>0</v>
      </c>
    </row>
    <row r="25" spans="1:5">
      <c r="A25" t="s">
        <v>26</v>
      </c>
      <c r="B25" t="s">
        <v>27</v>
      </c>
      <c r="C25">
        <f>COUNTIFS(Tests!$A:$A,$B25, Tests!$B:$B,"Direct")</f>
        <v>0</v>
      </c>
      <c r="D25">
        <f>COUNTIFS(Tests!$A:$A,$B25, Tests!$B:$B,"Indirect")</f>
        <v>0</v>
      </c>
      <c r="E25">
        <f t="shared" si="0"/>
        <v>0</v>
      </c>
    </row>
    <row r="26" spans="1:5">
      <c r="A26" t="s">
        <v>26</v>
      </c>
      <c r="B26" t="s">
        <v>28</v>
      </c>
      <c r="C26">
        <f>COUNTIFS(Tests!$A:$A,$B26, Tests!$B:$B,"Direct")</f>
        <v>0</v>
      </c>
      <c r="D26">
        <f>COUNTIFS(Tests!$A:$A,$B26, Tests!$B:$B,"Indirect")</f>
        <v>0</v>
      </c>
      <c r="E26">
        <f t="shared" si="0"/>
        <v>0</v>
      </c>
    </row>
    <row r="27" spans="1:5">
      <c r="A27" t="s">
        <v>26</v>
      </c>
      <c r="B27" t="s">
        <v>32</v>
      </c>
      <c r="C27">
        <f>COUNTIFS(Tests!$A:$A,$B27, Tests!$B:$B,"Direct")</f>
        <v>0</v>
      </c>
      <c r="D27">
        <f>COUNTIFS(Tests!$A:$A,$B27, Tests!$B:$B,"Indirect")</f>
        <v>0</v>
      </c>
      <c r="E27">
        <f t="shared" si="0"/>
        <v>0</v>
      </c>
    </row>
    <row r="28" spans="1:5">
      <c r="A28" t="s">
        <v>26</v>
      </c>
      <c r="B28" t="s">
        <v>29</v>
      </c>
      <c r="C28">
        <f>COUNTIFS(Tests!$A:$A,$B28, Tests!$B:$B,"Direct")</f>
        <v>0</v>
      </c>
      <c r="D28">
        <f>COUNTIFS(Tests!$A:$A,$B28, Tests!$B:$B,"Indirect")</f>
        <v>0</v>
      </c>
      <c r="E28">
        <f t="shared" si="0"/>
        <v>0</v>
      </c>
    </row>
    <row r="29" spans="1:5">
      <c r="A29" t="s">
        <v>26</v>
      </c>
      <c r="B29" t="s">
        <v>30</v>
      </c>
      <c r="C29">
        <f>COUNTIFS(Tests!$A:$A,$B29, Tests!$B:$B,"Direct")</f>
        <v>0</v>
      </c>
      <c r="D29">
        <f>COUNTIFS(Tests!$A:$A,$B29, Tests!$B:$B,"Indirect")</f>
        <v>0</v>
      </c>
      <c r="E29">
        <f t="shared" si="0"/>
        <v>0</v>
      </c>
    </row>
    <row r="30" spans="1:5">
      <c r="A30" t="s">
        <v>26</v>
      </c>
      <c r="B30" t="s">
        <v>31</v>
      </c>
      <c r="C30">
        <f>COUNTIFS(Tests!$A:$A,$B30, Tests!$B:$B,"Direct")</f>
        <v>0</v>
      </c>
      <c r="D30">
        <f>COUNTIFS(Tests!$A:$A,$B30, Tests!$B:$B,"Indirect")</f>
        <v>0</v>
      </c>
      <c r="E30">
        <f t="shared" si="0"/>
        <v>0</v>
      </c>
    </row>
    <row r="31" spans="1:5">
      <c r="A31" t="s">
        <v>33</v>
      </c>
      <c r="B31" t="s">
        <v>34</v>
      </c>
      <c r="C31">
        <f>COUNTIFS(Tests!$A:$A,$B31, Tests!$B:$B,"Direct")</f>
        <v>0</v>
      </c>
      <c r="D31">
        <f>COUNTIFS(Tests!$A:$A,$B31, Tests!$B:$B,"Indirect")</f>
        <v>0</v>
      </c>
      <c r="E31">
        <f t="shared" si="0"/>
        <v>0</v>
      </c>
    </row>
    <row r="32" spans="1:5">
      <c r="A32" t="s">
        <v>33</v>
      </c>
      <c r="B32" t="s">
        <v>35</v>
      </c>
      <c r="C32">
        <f>COUNTIFS(Tests!$A:$A,$B32, Tests!$B:$B,"Direct")</f>
        <v>0</v>
      </c>
      <c r="D32">
        <f>COUNTIFS(Tests!$A:$A,$B32, Tests!$B:$B,"Indirect")</f>
        <v>0</v>
      </c>
      <c r="E32">
        <f t="shared" si="0"/>
        <v>0</v>
      </c>
    </row>
    <row r="33" spans="1:5">
      <c r="A33" t="s">
        <v>33</v>
      </c>
      <c r="B33" t="s">
        <v>36</v>
      </c>
      <c r="C33">
        <f>COUNTIFS(Tests!$A:$A,$B33, Tests!$B:$B,"Direct")</f>
        <v>0</v>
      </c>
      <c r="D33">
        <f>COUNTIFS(Tests!$A:$A,$B33, Tests!$B:$B,"Indirect")</f>
        <v>0</v>
      </c>
      <c r="E33">
        <f t="shared" si="0"/>
        <v>0</v>
      </c>
    </row>
    <row r="34" spans="1:5">
      <c r="A34" t="s">
        <v>33</v>
      </c>
      <c r="B34" t="s">
        <v>37</v>
      </c>
      <c r="C34">
        <f>COUNTIFS(Tests!$A:$A,$B34, Tests!$B:$B,"Direct")</f>
        <v>0</v>
      </c>
      <c r="D34">
        <f>COUNTIFS(Tests!$A:$A,$B34, Tests!$B:$B,"Indirect")</f>
        <v>0</v>
      </c>
      <c r="E34">
        <f t="shared" si="0"/>
        <v>0</v>
      </c>
    </row>
    <row r="35" spans="1:5">
      <c r="A35" t="s">
        <v>33</v>
      </c>
      <c r="B35" t="s">
        <v>38</v>
      </c>
      <c r="C35">
        <f>COUNTIFS(Tests!$A:$A,$B35, Tests!$B:$B,"Direct")</f>
        <v>0</v>
      </c>
      <c r="D35">
        <f>COUNTIFS(Tests!$A:$A,$B35, Tests!$B:$B,"Indirect")</f>
        <v>0</v>
      </c>
      <c r="E35">
        <f t="shared" si="0"/>
        <v>0</v>
      </c>
    </row>
    <row r="36" spans="1:5">
      <c r="A36" t="s">
        <v>33</v>
      </c>
      <c r="B36" t="s">
        <v>39</v>
      </c>
      <c r="C36">
        <f>COUNTIFS(Tests!$A:$A,$B36, Tests!$B:$B,"Direct")</f>
        <v>0</v>
      </c>
      <c r="D36">
        <f>COUNTIFS(Tests!$A:$A,$B36, Tests!$B:$B,"Indirect")</f>
        <v>0</v>
      </c>
      <c r="E36">
        <f t="shared" si="0"/>
        <v>0</v>
      </c>
    </row>
    <row r="37" spans="1:5">
      <c r="A37" t="s">
        <v>40</v>
      </c>
      <c r="B37" t="s">
        <v>41</v>
      </c>
      <c r="C37">
        <f>COUNTIFS(Tests!$A:$A,$B37, Tests!$B:$B,"Direct")</f>
        <v>0</v>
      </c>
      <c r="D37">
        <f>COUNTIFS(Tests!$A:$A,$B37, Tests!$B:$B,"Indirect")</f>
        <v>0</v>
      </c>
      <c r="E37">
        <f t="shared" si="0"/>
        <v>0</v>
      </c>
    </row>
    <row r="38" spans="1:5">
      <c r="A38" t="s">
        <v>40</v>
      </c>
      <c r="B38" t="s">
        <v>42</v>
      </c>
      <c r="C38">
        <f>COUNTIFS(Tests!$A:$A,$B38, Tests!$B:$B,"Direct")</f>
        <v>0</v>
      </c>
      <c r="D38">
        <f>COUNTIFS(Tests!$A:$A,$B38, Tests!$B:$B,"Indirect")</f>
        <v>0</v>
      </c>
      <c r="E38">
        <f t="shared" si="0"/>
        <v>0</v>
      </c>
    </row>
    <row r="39" spans="1:5">
      <c r="A39" t="s">
        <v>40</v>
      </c>
      <c r="B39" t="s">
        <v>43</v>
      </c>
      <c r="C39">
        <f>COUNTIFS(Tests!$A:$A,$B39, Tests!$B:$B,"Direct")</f>
        <v>0</v>
      </c>
      <c r="D39">
        <f>COUNTIFS(Tests!$A:$A,$B39, Tests!$B:$B,"Indirect")</f>
        <v>0</v>
      </c>
      <c r="E39">
        <f t="shared" si="0"/>
        <v>0</v>
      </c>
    </row>
    <row r="40" spans="1:5">
      <c r="A40" t="s">
        <v>40</v>
      </c>
      <c r="B40" t="s">
        <v>44</v>
      </c>
      <c r="C40">
        <f>COUNTIFS(Tests!$A:$A,$B40, Tests!$B:$B,"Direct")</f>
        <v>0</v>
      </c>
      <c r="D40">
        <f>COUNTIFS(Tests!$A:$A,$B40, Tests!$B:$B,"Indirect")</f>
        <v>0</v>
      </c>
      <c r="E40">
        <f t="shared" si="0"/>
        <v>0</v>
      </c>
    </row>
    <row r="41" spans="1:5">
      <c r="A41" t="s">
        <v>45</v>
      </c>
      <c r="B41" t="s">
        <v>47</v>
      </c>
      <c r="C41">
        <f>COUNTIFS(Tests!$A:$A,$B41, Tests!$B:$B,"Direct")</f>
        <v>0</v>
      </c>
      <c r="D41">
        <f>COUNTIFS(Tests!$A:$A,$B41, Tests!$B:$B,"Indirect")</f>
        <v>0</v>
      </c>
      <c r="E41">
        <f t="shared" si="0"/>
        <v>0</v>
      </c>
    </row>
    <row r="42" spans="1:5">
      <c r="A42" t="s">
        <v>45</v>
      </c>
      <c r="B42" t="s">
        <v>48</v>
      </c>
      <c r="C42">
        <f>COUNTIFS(Tests!$A:$A,$B42, Tests!$B:$B,"Direct")</f>
        <v>0</v>
      </c>
      <c r="D42">
        <f>COUNTIFS(Tests!$A:$A,$B42, Tests!$B:$B,"Indirect")</f>
        <v>0</v>
      </c>
      <c r="E42">
        <f t="shared" si="0"/>
        <v>0</v>
      </c>
    </row>
    <row r="43" spans="1:5">
      <c r="A43" t="s">
        <v>45</v>
      </c>
      <c r="B43" t="s">
        <v>49</v>
      </c>
      <c r="C43">
        <f>COUNTIFS(Tests!$A:$A,$B43, Tests!$B:$B,"Direct")</f>
        <v>0</v>
      </c>
      <c r="D43">
        <f>COUNTIFS(Tests!$A:$A,$B43, Tests!$B:$B,"Indirect")</f>
        <v>0</v>
      </c>
      <c r="E43">
        <f t="shared" si="0"/>
        <v>0</v>
      </c>
    </row>
    <row r="44" spans="1:5">
      <c r="A44" t="s">
        <v>45</v>
      </c>
      <c r="B44" t="s">
        <v>46</v>
      </c>
      <c r="C44">
        <f>COUNTIFS(Tests!$A:$A,$B44, Tests!$B:$B,"Direct")</f>
        <v>0</v>
      </c>
      <c r="D44">
        <f>COUNTIFS(Tests!$A:$A,$B44, Tests!$B:$B,"Indirect")</f>
        <v>0</v>
      </c>
      <c r="E44">
        <f t="shared" si="0"/>
        <v>0</v>
      </c>
    </row>
    <row r="45" spans="1:5">
      <c r="A45" t="s">
        <v>45</v>
      </c>
      <c r="B45" t="s">
        <v>50</v>
      </c>
      <c r="C45">
        <f>COUNTIFS(Tests!$A:$A,$B45, Tests!$B:$B,"Direct")</f>
        <v>0</v>
      </c>
      <c r="D45">
        <f>COUNTIFS(Tests!$A:$A,$B45, Tests!$B:$B,"Indirect")</f>
        <v>0</v>
      </c>
      <c r="E45">
        <f t="shared" si="0"/>
        <v>0</v>
      </c>
    </row>
    <row r="46" spans="1:5">
      <c r="A46" t="s">
        <v>45</v>
      </c>
      <c r="B46" t="s">
        <v>51</v>
      </c>
      <c r="C46">
        <f>COUNTIFS(Tests!$A:$A,$B46, Tests!$B:$B,"Direct")</f>
        <v>0</v>
      </c>
      <c r="D46">
        <f>COUNTIFS(Tests!$A:$A,$B46, Tests!$B:$B,"Indirect")</f>
        <v>0</v>
      </c>
      <c r="E46">
        <f t="shared" si="0"/>
        <v>0</v>
      </c>
    </row>
    <row r="47" spans="1:5">
      <c r="A47" t="s">
        <v>45</v>
      </c>
      <c r="B47" t="s">
        <v>52</v>
      </c>
      <c r="C47">
        <f>COUNTIFS(Tests!$A:$A,$B47, Tests!$B:$B,"Direct")</f>
        <v>0</v>
      </c>
      <c r="D47">
        <f>COUNTIFS(Tests!$A:$A,$B47, Tests!$B:$B,"Indirect")</f>
        <v>0</v>
      </c>
      <c r="E47">
        <f t="shared" si="0"/>
        <v>0</v>
      </c>
    </row>
    <row r="48" spans="1:5">
      <c r="A48" t="s">
        <v>45</v>
      </c>
      <c r="B48" t="s">
        <v>53</v>
      </c>
      <c r="C48">
        <f>COUNTIFS(Tests!$A:$A,$B48, Tests!$B:$B,"Direct")</f>
        <v>0</v>
      </c>
      <c r="D48">
        <f>COUNTIFS(Tests!$A:$A,$B48, Tests!$B:$B,"Indirect")</f>
        <v>0</v>
      </c>
      <c r="E48">
        <f t="shared" si="0"/>
        <v>0</v>
      </c>
    </row>
    <row r="49" spans="1:5">
      <c r="A49" t="s">
        <v>45</v>
      </c>
      <c r="B49" t="s">
        <v>54</v>
      </c>
      <c r="C49">
        <f>COUNTIFS(Tests!$A:$A,$B49, Tests!$B:$B,"Direct")</f>
        <v>0</v>
      </c>
      <c r="D49">
        <f>COUNTIFS(Tests!$A:$A,$B49, Tests!$B:$B,"Indirect")</f>
        <v>0</v>
      </c>
      <c r="E49">
        <f t="shared" si="0"/>
        <v>0</v>
      </c>
    </row>
    <row r="50" spans="1:5">
      <c r="A50" t="s">
        <v>45</v>
      </c>
      <c r="B50" t="s">
        <v>55</v>
      </c>
      <c r="C50">
        <f>COUNTIFS(Tests!$A:$A,$B50, Tests!$B:$B,"Direct")</f>
        <v>0</v>
      </c>
      <c r="D50">
        <f>COUNTIFS(Tests!$A:$A,$B50, Tests!$B:$B,"Indirect")</f>
        <v>0</v>
      </c>
      <c r="E50">
        <f t="shared" si="0"/>
        <v>0</v>
      </c>
    </row>
  </sheetData>
  <dataConsolidate/>
  <conditionalFormatting sqref="A1:XFD1048576">
    <cfRule type="expression" dxfId="0" priority="1">
      <formula>$E1=0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Tests</vt:lpstr>
      <vt:lpstr>Coverage</vt:lpstr>
      <vt:lpstr>NumTestsFailing</vt:lpstr>
      <vt:lpstr>NumTestsPassing</vt:lpstr>
    </vt:vector>
  </TitlesOfParts>
  <Company>BlueCross BlueShield of Tennessee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Nylen</dc:creator>
  <cp:lastModifiedBy>James Nylen</cp:lastModifiedBy>
  <dcterms:created xsi:type="dcterms:W3CDTF">2012-03-02T15:49:50Z</dcterms:created>
  <dcterms:modified xsi:type="dcterms:W3CDTF">2012-10-03T20:31:36Z</dcterms:modified>
</cp:coreProperties>
</file>