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610" windowHeight="11640"/>
  </bookViews>
  <sheets>
    <sheet name="Tests" sheetId="4" r:id="rId1"/>
    <sheet name="Coverage" sheetId="3" r:id="rId2"/>
    <sheet name="Links" sheetId="192" r:id="rId3"/>
    <sheet name="Charts" sheetId="147" r:id="rId4"/>
    <sheet name="Tables" sheetId="197" r:id="rId5"/>
    <sheet name="Test_UsedRange" sheetId="90" r:id="rId6"/>
  </sheets>
  <functionGroups/>
  <externalReferences>
    <externalReference r:id="rId7"/>
  </externalReferences>
  <definedNames>
    <definedName name="FunctionsCovered">Coverage!$H$2</definedName>
    <definedName name="FunctionsNotCovered">Coverage!$H$3</definedName>
    <definedName name="MaxTestRow">Tests!$I$3</definedName>
    <definedName name="NumTestsFailing">Tests!$K$3</definedName>
    <definedName name="NumTestsPassing">Tests!$K$2</definedName>
    <definedName name="TblTest1_Col1">Tables!$F$5:$F$9</definedName>
    <definedName name="TblTest1_Col2">Tables!$G$5:$G$9</definedName>
    <definedName name="TblTest1_Col3">Tables!$H$5:$H$9</definedName>
    <definedName name="TblTest1_Col4">Tables!$I$5:$I$9</definedName>
    <definedName name="TblTest1_MaxExtent">Tables!$E$5:$I$9</definedName>
    <definedName name="TblTest1AndSurroundingContents">Tables!$L$12</definedName>
    <definedName name="TestCategories">Tests!$E:$E</definedName>
    <definedName name="TestChecks">Tests!$J:$J</definedName>
    <definedName name="TestNames">Tests!$F:$F</definedName>
    <definedName name="TestResults">Tests!$H:$H</definedName>
    <definedName name="TestSpecs">Tests!$G:$G</definedName>
    <definedName name="TotalTests">Tests!$I$2</definedName>
  </definedNames>
  <calcPr calcId="125725" concurrentManualCount="3"/>
</workbook>
</file>

<file path=xl/calcChain.xml><?xml version="1.0" encoding="utf-8"?>
<calcChain xmlns="http://schemas.openxmlformats.org/spreadsheetml/2006/main">
  <c r="A1" i="192"/>
  <c r="A3"/>
  <c r="A2"/>
  <c r="C99" i="3"/>
  <c r="C100"/>
  <c r="D99"/>
  <c r="D100"/>
  <c r="E100" s="1"/>
  <c r="E99" l="1"/>
  <c r="C95"/>
  <c r="C96"/>
  <c r="C97"/>
  <c r="C98"/>
  <c r="D95"/>
  <c r="E95" s="1"/>
  <c r="D96"/>
  <c r="E96" s="1"/>
  <c r="D97"/>
  <c r="E97" s="1"/>
  <c r="D98"/>
  <c r="E98" l="1"/>
  <c r="J189" i="4"/>
  <c r="C94" i="3"/>
  <c r="D94"/>
  <c r="B165" i="4"/>
  <c r="J184"/>
  <c r="J185"/>
  <c r="J186"/>
  <c r="J187"/>
  <c r="J188"/>
  <c r="J183"/>
  <c r="B164"/>
  <c r="B163"/>
  <c r="B162"/>
  <c r="J179"/>
  <c r="J178"/>
  <c r="J177"/>
  <c r="J182"/>
  <c r="J181"/>
  <c r="J180"/>
  <c r="J176"/>
  <c r="J175"/>
  <c r="J174"/>
  <c r="B161"/>
  <c r="J171"/>
  <c r="C90" i="3"/>
  <c r="C91"/>
  <c r="C92"/>
  <c r="C93"/>
  <c r="D90"/>
  <c r="E90" s="1"/>
  <c r="D91"/>
  <c r="D92"/>
  <c r="D93"/>
  <c r="C89"/>
  <c r="D89"/>
  <c r="B160" i="4"/>
  <c r="B159"/>
  <c r="J173"/>
  <c r="J172"/>
  <c r="J170"/>
  <c r="J169"/>
  <c r="C88" i="3"/>
  <c r="D88"/>
  <c r="J168" i="4"/>
  <c r="B158"/>
  <c r="C87" i="3"/>
  <c r="D87"/>
  <c r="B157" i="4"/>
  <c r="J167"/>
  <c r="J166"/>
  <c r="J165"/>
  <c r="J164"/>
  <c r="J163"/>
  <c r="L6" i="197"/>
  <c r="L7"/>
  <c r="L8"/>
  <c r="L9"/>
  <c r="L10"/>
  <c r="L5"/>
  <c r="J162" i="4"/>
  <c r="J159"/>
  <c r="J157"/>
  <c r="J155"/>
  <c r="J161"/>
  <c r="J153"/>
  <c r="J160"/>
  <c r="J158"/>
  <c r="J156"/>
  <c r="J154"/>
  <c r="J152"/>
  <c r="J151"/>
  <c r="B156"/>
  <c r="B155"/>
  <c r="B154"/>
  <c r="B153"/>
  <c r="B152"/>
  <c r="B151"/>
  <c r="C80" i="3"/>
  <c r="C81"/>
  <c r="C82"/>
  <c r="C83"/>
  <c r="C84"/>
  <c r="C85"/>
  <c r="C86"/>
  <c r="D80"/>
  <c r="D81"/>
  <c r="D82"/>
  <c r="D83"/>
  <c r="D84"/>
  <c r="D85"/>
  <c r="D86"/>
  <c r="E80" l="1"/>
  <c r="E92"/>
  <c r="E91"/>
  <c r="E94"/>
  <c r="E83"/>
  <c r="E93"/>
  <c r="E89"/>
  <c r="E82"/>
  <c r="E84"/>
  <c r="E81"/>
  <c r="E88"/>
  <c r="E85"/>
  <c r="E87"/>
  <c r="L12" i="197"/>
  <c r="E86" i="3"/>
  <c r="B143" i="4"/>
  <c r="B142"/>
  <c r="B122"/>
  <c r="B123"/>
  <c r="B124"/>
  <c r="B141"/>
  <c r="B140"/>
  <c r="B139"/>
  <c r="B138"/>
  <c r="B137"/>
  <c r="B136"/>
  <c r="B133"/>
  <c r="B132"/>
  <c r="B131"/>
  <c r="B130"/>
  <c r="J148"/>
  <c r="J146"/>
  <c r="J145"/>
  <c r="J144"/>
  <c r="J143"/>
  <c r="J142"/>
  <c r="J141"/>
  <c r="J140"/>
  <c r="J139"/>
  <c r="J138"/>
  <c r="J137"/>
  <c r="J136"/>
  <c r="C79" i="3"/>
  <c r="D79"/>
  <c r="C78"/>
  <c r="D78"/>
  <c r="C72"/>
  <c r="C73"/>
  <c r="C74"/>
  <c r="C75"/>
  <c r="C76"/>
  <c r="C77"/>
  <c r="D72"/>
  <c r="D73"/>
  <c r="D74"/>
  <c r="D75"/>
  <c r="D76"/>
  <c r="D77"/>
  <c r="E72"/>
  <c r="E73"/>
  <c r="E74"/>
  <c r="E75"/>
  <c r="E76"/>
  <c r="E77"/>
  <c r="B127" i="4"/>
  <c r="J134"/>
  <c r="J133"/>
  <c r="J132"/>
  <c r="J129"/>
  <c r="J131"/>
  <c r="B128"/>
  <c r="B126"/>
  <c r="B125"/>
  <c r="J127"/>
  <c r="J126"/>
  <c r="J125"/>
  <c r="B129"/>
  <c r="J130"/>
  <c r="J128"/>
  <c r="C6" i="147"/>
  <c r="C5"/>
  <c r="C4"/>
  <c r="C3"/>
  <c r="D71" i="3"/>
  <c r="C71"/>
  <c r="D70"/>
  <c r="C70"/>
  <c r="D69"/>
  <c r="C69"/>
  <c r="D68"/>
  <c r="C68"/>
  <c r="D67"/>
  <c r="C67"/>
  <c r="D66"/>
  <c r="C66"/>
  <c r="D65"/>
  <c r="C65"/>
  <c r="D64"/>
  <c r="C64"/>
  <c r="D63"/>
  <c r="C63"/>
  <c r="D62"/>
  <c r="C62"/>
  <c r="D61"/>
  <c r="C61"/>
  <c r="D60"/>
  <c r="C60"/>
  <c r="D59"/>
  <c r="C59"/>
  <c r="D58"/>
  <c r="C58"/>
  <c r="E79" l="1"/>
  <c r="E78"/>
  <c r="E61"/>
  <c r="E64"/>
  <c r="E66"/>
  <c r="E69"/>
  <c r="E58"/>
  <c r="E60"/>
  <c r="E63"/>
  <c r="E59"/>
  <c r="E65"/>
  <c r="E68"/>
  <c r="E71"/>
  <c r="E62"/>
  <c r="E67"/>
  <c r="E70"/>
  <c r="D57"/>
  <c r="C57"/>
  <c r="D56"/>
  <c r="C56"/>
  <c r="E56" s="1"/>
  <c r="D55"/>
  <c r="C55"/>
  <c r="D54"/>
  <c r="C54"/>
  <c r="D53"/>
  <c r="C53"/>
  <c r="D52"/>
  <c r="C52"/>
  <c r="D51"/>
  <c r="C51"/>
  <c r="D50"/>
  <c r="C50"/>
  <c r="D49"/>
  <c r="C49"/>
  <c r="D48"/>
  <c r="C48"/>
  <c r="D47"/>
  <c r="C47"/>
  <c r="D46"/>
  <c r="C46"/>
  <c r="D45"/>
  <c r="C45"/>
  <c r="D44"/>
  <c r="C44"/>
  <c r="D43"/>
  <c r="C43"/>
  <c r="D42"/>
  <c r="C42"/>
  <c r="D41"/>
  <c r="C41"/>
  <c r="D40"/>
  <c r="C40"/>
  <c r="D39"/>
  <c r="C39"/>
  <c r="D38"/>
  <c r="C38"/>
  <c r="D37"/>
  <c r="C37"/>
  <c r="D36"/>
  <c r="C36"/>
  <c r="D35"/>
  <c r="C35"/>
  <c r="D34"/>
  <c r="C34"/>
  <c r="D33"/>
  <c r="C33"/>
  <c r="D32"/>
  <c r="C32"/>
  <c r="D31"/>
  <c r="C31"/>
  <c r="D30"/>
  <c r="C30"/>
  <c r="D29"/>
  <c r="C29"/>
  <c r="D28"/>
  <c r="C28"/>
  <c r="D27"/>
  <c r="C27"/>
  <c r="D26"/>
  <c r="C26"/>
  <c r="D25"/>
  <c r="C25"/>
  <c r="D24"/>
  <c r="C24"/>
  <c r="D23"/>
  <c r="C23"/>
  <c r="D22"/>
  <c r="C22"/>
  <c r="D21"/>
  <c r="C21"/>
  <c r="D20"/>
  <c r="C20"/>
  <c r="D19"/>
  <c r="C19"/>
  <c r="D18"/>
  <c r="C18"/>
  <c r="D17"/>
  <c r="C17"/>
  <c r="D16"/>
  <c r="C16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D3"/>
  <c r="C3"/>
  <c r="E53" l="1"/>
  <c r="E4"/>
  <c r="E5"/>
  <c r="E41"/>
  <c r="E47"/>
  <c r="E55"/>
  <c r="E13"/>
  <c r="E18"/>
  <c r="E22"/>
  <c r="E31"/>
  <c r="E40"/>
  <c r="E9"/>
  <c r="E23"/>
  <c r="E36"/>
  <c r="E14"/>
  <c r="E27"/>
  <c r="E57"/>
  <c r="E32"/>
  <c r="E45"/>
  <c r="E49"/>
  <c r="E51"/>
  <c r="E50"/>
  <c r="E6"/>
  <c r="E10"/>
  <c r="E11"/>
  <c r="E15"/>
  <c r="E19"/>
  <c r="E20"/>
  <c r="E24"/>
  <c r="E28"/>
  <c r="E29"/>
  <c r="E33"/>
  <c r="E37"/>
  <c r="E38"/>
  <c r="E42"/>
  <c r="E46"/>
  <c r="E7"/>
  <c r="E8"/>
  <c r="E12"/>
  <c r="E16"/>
  <c r="E17"/>
  <c r="E21"/>
  <c r="E25"/>
  <c r="E26"/>
  <c r="E30"/>
  <c r="E34"/>
  <c r="E35"/>
  <c r="E39"/>
  <c r="E43"/>
  <c r="E44"/>
  <c r="E48"/>
  <c r="E52"/>
  <c r="E54"/>
  <c r="D2"/>
  <c r="C2"/>
  <c r="J122" i="4"/>
  <c r="J120"/>
  <c r="J119"/>
  <c r="J118"/>
  <c r="J117"/>
  <c r="J116"/>
  <c r="J115"/>
  <c r="B115"/>
  <c r="J114"/>
  <c r="J113"/>
  <c r="J112"/>
  <c r="J111"/>
  <c r="B111"/>
  <c r="J109"/>
  <c r="B109"/>
  <c r="J108"/>
  <c r="B108"/>
  <c r="J107"/>
  <c r="B107"/>
  <c r="W105"/>
  <c r="J105"/>
  <c r="W104"/>
  <c r="J104"/>
  <c r="W103"/>
  <c r="J103"/>
  <c r="W102"/>
  <c r="J102"/>
  <c r="W101"/>
  <c r="J101"/>
  <c r="W100"/>
  <c r="J100"/>
  <c r="W99"/>
  <c r="J99"/>
  <c r="W98"/>
  <c r="J98"/>
  <c r="B98"/>
  <c r="J96"/>
  <c r="J95"/>
  <c r="J94"/>
  <c r="J93"/>
  <c r="J92"/>
  <c r="J91"/>
  <c r="J90"/>
  <c r="J89"/>
  <c r="B89"/>
  <c r="J87"/>
  <c r="J86"/>
  <c r="J85"/>
  <c r="J84"/>
  <c r="J83"/>
  <c r="J82"/>
  <c r="J81"/>
  <c r="J80"/>
  <c r="J79"/>
  <c r="J78"/>
  <c r="J77"/>
  <c r="J76"/>
  <c r="J75"/>
  <c r="B75"/>
  <c r="J74"/>
  <c r="B74"/>
  <c r="J72"/>
  <c r="J71"/>
  <c r="B71"/>
  <c r="J69"/>
  <c r="J68"/>
  <c r="J67"/>
  <c r="J66"/>
  <c r="J65"/>
  <c r="J64"/>
  <c r="B64"/>
  <c r="J63"/>
  <c r="B63"/>
  <c r="J62"/>
  <c r="B62"/>
  <c r="J60"/>
  <c r="J59"/>
  <c r="J58"/>
  <c r="B58"/>
  <c r="J57"/>
  <c r="B57"/>
  <c r="J55"/>
  <c r="J54"/>
  <c r="J53"/>
  <c r="B53"/>
  <c r="J51"/>
  <c r="J50"/>
  <c r="J49"/>
  <c r="J48"/>
  <c r="B48"/>
  <c r="J46"/>
  <c r="J45"/>
  <c r="J44"/>
  <c r="J43"/>
  <c r="J42"/>
  <c r="B42"/>
  <c r="J40"/>
  <c r="J39"/>
  <c r="I123"/>
  <c r="I124" l="1"/>
  <c r="J124" s="1"/>
  <c r="J123"/>
  <c r="J27"/>
  <c r="J26"/>
  <c r="J25"/>
  <c r="J24"/>
  <c r="B16"/>
  <c r="B15"/>
  <c r="B14"/>
  <c r="B13"/>
  <c r="B12"/>
  <c r="B11"/>
  <c r="J10"/>
  <c r="B10"/>
  <c r="J9"/>
  <c r="B9"/>
  <c r="J8"/>
  <c r="B8"/>
  <c r="J7"/>
  <c r="B7"/>
  <c r="M21" a="1"/>
  <c r="M36" a="1"/>
  <c r="M28" a="1"/>
  <c r="O13" a="1"/>
  <c r="M32" l="1"/>
  <c r="M29"/>
  <c r="M28"/>
  <c r="M33"/>
  <c r="M30"/>
  <c r="M31"/>
  <c r="P21"/>
  <c r="M21"/>
  <c r="Q21"/>
  <c r="R21"/>
  <c r="N21"/>
  <c r="O21"/>
  <c r="P36"/>
  <c r="Q36"/>
  <c r="O36"/>
  <c r="R36"/>
  <c r="M36"/>
  <c r="N36"/>
  <c r="O17"/>
  <c r="O14"/>
  <c r="O18"/>
  <c r="O15"/>
  <c r="O16"/>
  <c r="O13"/>
  <c r="I3" a="1"/>
  <c r="J149" l="1"/>
  <c r="I3"/>
  <c r="E2" i="3"/>
  <c r="E3"/>
  <c r="H3" l="1"/>
  <c r="H2"/>
  <c r="J147" i="4"/>
  <c r="K2" s="1"/>
  <c r="K3" l="1"/>
  <c r="I2" s="1"/>
</calcChain>
</file>

<file path=xl/comments1.xml><?xml version="1.0" encoding="utf-8"?>
<comments xmlns="http://schemas.openxmlformats.org/spreadsheetml/2006/main">
  <authors>
    <author>James Nylen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James Nylen:</t>
        </r>
        <r>
          <rPr>
            <sz val="8"/>
            <color indexed="81"/>
            <rFont val="Tahoma"/>
            <family val="2"/>
          </rPr>
          <t xml:space="preserve">
A direct test actually calls the given function.  An indirect test calls a function that uses the given function.</t>
        </r>
      </text>
    </comment>
  </commentList>
</comments>
</file>

<file path=xl/sharedStrings.xml><?xml version="1.0" encoding="utf-8"?>
<sst xmlns="http://schemas.openxmlformats.org/spreadsheetml/2006/main" count="1051" uniqueCount="503">
  <si>
    <t>Module</t>
  </si>
  <si>
    <t>Function</t>
  </si>
  <si>
    <t>ArrayUtils</t>
  </si>
  <si>
    <t>NormalizeArray</t>
  </si>
  <si>
    <t>ArrayLen</t>
  </si>
  <si>
    <t>Test</t>
  </si>
  <si>
    <t>Expected</t>
  </si>
  <si>
    <t>ExcelUtils</t>
  </si>
  <si>
    <t>IsWorkbookOpen</t>
  </si>
  <si>
    <t>SheetExists</t>
  </si>
  <si>
    <t>ExcelCol</t>
  </si>
  <si>
    <t>ExcelColNum</t>
  </si>
  <si>
    <t>CellReference</t>
  </si>
  <si>
    <t>ExcelErrorType</t>
  </si>
  <si>
    <t>ShowStatusMessage</t>
  </si>
  <si>
    <t>FileUtils</t>
  </si>
  <si>
    <t>FolderExists</t>
  </si>
  <si>
    <t>FileExists</t>
  </si>
  <si>
    <t>CombinePaths</t>
  </si>
  <si>
    <t>NormalizePath</t>
  </si>
  <si>
    <t>GetDirectoryName</t>
  </si>
  <si>
    <t>GetFilename</t>
  </si>
  <si>
    <t>ListFiles</t>
  </si>
  <si>
    <t>ListFolders</t>
  </si>
  <si>
    <t>GetTempPath</t>
  </si>
  <si>
    <t>FormulaFunctions</t>
  </si>
  <si>
    <t>ArrayElement</t>
  </si>
  <si>
    <t>StringSplit</t>
  </si>
  <si>
    <t>ColumnWidth</t>
  </si>
  <si>
    <t>RowHeight</t>
  </si>
  <si>
    <t>NewLine</t>
  </si>
  <si>
    <t>StringUtils</t>
  </si>
  <si>
    <t>StartsWith</t>
  </si>
  <si>
    <t>EndsWith</t>
  </si>
  <si>
    <t>SplitTrim</t>
  </si>
  <si>
    <t>TrimChars</t>
  </si>
  <si>
    <t>TrimLeadingChars</t>
  </si>
  <si>
    <t>TrimTrailingChars</t>
  </si>
  <si>
    <t>VBAUtils</t>
  </si>
  <si>
    <t>ModuleExists</t>
  </si>
  <si>
    <t>RemoveModule</t>
  </si>
  <si>
    <t>ExportModule</t>
  </si>
  <si>
    <t>ImportModule</t>
  </si>
  <si>
    <t>List</t>
  </si>
  <si>
    <t>a</t>
  </si>
  <si>
    <t>b</t>
  </si>
  <si>
    <t>c</t>
  </si>
  <si>
    <t>SortArrayInPlace</t>
  </si>
  <si>
    <t>SortArray</t>
  </si>
  <si>
    <t>GetUniqueItems</t>
  </si>
  <si>
    <t>GetArrayForFormula</t>
  </si>
  <si>
    <t>RangeToArray</t>
  </si>
  <si>
    <t>Direct</t>
  </si>
  <si>
    <t>List.Add</t>
  </si>
  <si>
    <t>x</t>
  </si>
  <si>
    <t>Indirect</t>
  </si>
  <si>
    <t>Category</t>
  </si>
  <si>
    <t>1,2,3,a,b,c</t>
  </si>
  <si>
    <t>Passing:</t>
  </si>
  <si>
    <t>Failing:</t>
  </si>
  <si>
    <t>Result</t>
  </si>
  <si>
    <t>To vertical range, then to string</t>
  </si>
  <si>
    <t>To horizontal range, then to string</t>
  </si>
  <si>
    <t>StringJoin</t>
  </si>
  <si>
    <t>To array, then to string</t>
  </si>
  <si>
    <t>To array, then get count</t>
  </si>
  <si>
    <t>Unique items, vertical range</t>
  </si>
  <si>
    <t>Unique items, horizontal range</t>
  </si>
  <si>
    <t>1,2,a,b,c,x</t>
  </si>
  <si>
    <t>Good sheet 1</t>
  </si>
  <si>
    <t>Good sheet 2</t>
  </si>
  <si>
    <t>Bad sheet 1</t>
  </si>
  <si>
    <t>Direct Tests</t>
  </si>
  <si>
    <t>Indirect Tests</t>
  </si>
  <si>
    <t>Covered</t>
  </si>
  <si>
    <t>Functions covered:</t>
  </si>
  <si>
    <t>Functions not covered:</t>
  </si>
  <si>
    <t>Total tests:</t>
  </si>
  <si>
    <t>Max row:</t>
  </si>
  <si>
    <t>Bad sheet 2</t>
  </si>
  <si>
    <t>Open workbook</t>
  </si>
  <si>
    <t>Closed workbook</t>
  </si>
  <si>
    <t>Bad workbook 1</t>
  </si>
  <si>
    <t>Nonexistent sheet</t>
  </si>
  <si>
    <t>Valid?</t>
  </si>
  <si>
    <t>DeleteSheetByName</t>
  </si>
  <si>
    <t>DeleteSheet</t>
  </si>
  <si>
    <t>DeleteSheets</t>
  </si>
  <si>
    <t>GetRealUsedRange</t>
  </si>
  <si>
    <t>ClearStatusMessage</t>
  </si>
  <si>
    <t>SendMessageToListener</t>
  </si>
  <si>
    <t>get List.Count</t>
  </si>
  <si>
    <t>set List.Item</t>
  </si>
  <si>
    <t>get List.Item</t>
  </si>
  <si>
    <t>get List.Items</t>
  </si>
  <si>
    <t>List.Clear</t>
  </si>
  <si>
    <t>List.AddOnce</t>
  </si>
  <si>
    <t>List.AddRange</t>
  </si>
  <si>
    <t>List.AddRangeOnce</t>
  </si>
  <si>
    <t>List.Contains</t>
  </si>
  <si>
    <t>GetCornerCell</t>
  </si>
  <si>
    <t>ArrayRank</t>
  </si>
  <si>
    <t>Vertical array rank 1</t>
  </si>
  <si>
    <t>Vertical array rank 2</t>
  </si>
  <si>
    <t>Horizontal array rank 1</t>
  </si>
  <si>
    <t>Horizontal array rank 2</t>
  </si>
  <si>
    <t>= SheetExists("Tests")</t>
  </si>
  <si>
    <t>= SheetExists("Coverage")</t>
  </si>
  <si>
    <t>= SheetExists("NotARealSheet")</t>
  </si>
  <si>
    <t>= SheetExists("Bad[*]Sheet\:/Name")</t>
  </si>
  <si>
    <t>= IsWorkbookOpen("Testing.xlsm")</t>
  </si>
  <si>
    <t>= IsWorkbookOpen("Not a real workbook.xlsx")</t>
  </si>
  <si>
    <t>= IsWorkbookOpen("Invalid:Workbook|Filename&gt;test")</t>
  </si>
  <si>
    <t>= SheetExists("This sheet name is definitely too long")</t>
  </si>
  <si>
    <t>Pass/Fail</t>
  </si>
  <si>
    <t>Name</t>
  </si>
  <si>
    <t>Direct/Indirect</t>
  </si>
  <si>
    <t>Vertical list</t>
  </si>
  <si>
    <t>Horizontal unique items</t>
  </si>
  <si>
    <t>Vertical unique items</t>
  </si>
  <si>
    <t>Horizontal list</t>
  </si>
  <si>
    <t>= StringJoin(RangeToArray($O$13:$O$18), ",")</t>
  </si>
  <si>
    <t>= StringJoin(GetUniqueItems(RangeToArray($M$10:$M$18)), ",")</t>
  </si>
  <si>
    <t>= ArrayLen(GetUniqueItems(RangeToArray($M$10:$M$18)))</t>
  </si>
  <si>
    <t>Delete sheets</t>
  </si>
  <si>
    <t>OK</t>
  </si>
  <si>
    <t>Create and delete sheet by name</t>
  </si>
  <si>
    <t>Delete non-existent sheet by name</t>
  </si>
  <si>
    <t>Test_DeleteSheet_ByName</t>
  </si>
  <si>
    <t>Test_DeleteSheet_ByNameNonExistent</t>
  </si>
  <si>
    <t>(Data and scratchwork for test cases)</t>
  </si>
  <si>
    <t>Delete bad sheet by name</t>
  </si>
  <si>
    <t>Test_DeleteSheet_ByNameBad</t>
  </si>
  <si>
    <t>Create and delete sheet by object</t>
  </si>
  <si>
    <t>Test_DeleteSheet_ByObject</t>
  </si>
  <si>
    <t>Delete non-existent sheet by object</t>
  </si>
  <si>
    <t>Delete bad sheet by object</t>
  </si>
  <si>
    <t>Create and delete sheets</t>
  </si>
  <si>
    <t>Delete bad sheets</t>
  </si>
  <si>
    <t>Test_DeleteSheet_ByObjectNonExistent</t>
  </si>
  <si>
    <t>Test_DeleteSheet_ByObjectBad</t>
  </si>
  <si>
    <t>Test_DeleteSheets_ByObject</t>
  </si>
  <si>
    <t>Test_DeleteSheets_ByObjectBad</t>
  </si>
  <si>
    <t>Test harness</t>
  </si>
  <si>
    <t>Non-existent macro</t>
  </si>
  <si>
    <t>TryToRunANonExistentMacro</t>
  </si>
  <si>
    <t>Error 1004: Cannot run the macro 'TryToRunANonExistentMacro'. The macro may not be available in this workbook or all macros may be disabled.</t>
  </si>
  <si>
    <t>Error 9: Subscript out of range</t>
  </si>
  <si>
    <t>d</t>
  </si>
  <si>
    <t>GetFormula</t>
  </si>
  <si>
    <t>Used range</t>
  </si>
  <si>
    <t>GetRealUsedRange, fromTopLeft = False</t>
  </si>
  <si>
    <t>GetRealUsedRange, fromTopLeft = True</t>
  </si>
  <si>
    <t>$A$1:$C$3</t>
  </si>
  <si>
    <t>$B$2:$C$3</t>
  </si>
  <si>
    <t>= GetAddress(GetRealUsedRangeByName("Test_UsedRange"))</t>
  </si>
  <si>
    <t>= GetAddress(GetRealUsedRangeByName2("Test_UsedRange", FALSE))</t>
  </si>
  <si>
    <t>Non-existent macro 2</t>
  </si>
  <si>
    <t>TryToRunANonExistentMacro2</t>
  </si>
  <si>
    <t>= ExcelCol(1)</t>
  </si>
  <si>
    <t>= ExcelCol(26)</t>
  </si>
  <si>
    <t>= ExcelCol(27)</t>
  </si>
  <si>
    <t>= ExcelCol(256)</t>
  </si>
  <si>
    <t>= ExcelCol(16380)</t>
  </si>
  <si>
    <t>= ExcelCol(16381)</t>
  </si>
  <si>
    <t>= ExcelCol(16384)</t>
  </si>
  <si>
    <t>A</t>
  </si>
  <si>
    <t>Z</t>
  </si>
  <si>
    <t>AA</t>
  </si>
  <si>
    <t>IV</t>
  </si>
  <si>
    <t>XEZ</t>
  </si>
  <si>
    <t>XFA</t>
  </si>
  <si>
    <t>XFD</t>
  </si>
  <si>
    <t>ExcelCol(1)</t>
  </si>
  <si>
    <t>ExcelCol(26)</t>
  </si>
  <si>
    <t>ExcelCol(27)</t>
  </si>
  <si>
    <t>ExcelCol(256)</t>
  </si>
  <si>
    <t>ExcelCol(16380)</t>
  </si>
  <si>
    <t>ExcelCol(16381)</t>
  </si>
  <si>
    <t>ExcelCol(16384)</t>
  </si>
  <si>
    <t>ExcelColNum(A)</t>
  </si>
  <si>
    <t>ExcelColNum(Z)</t>
  </si>
  <si>
    <t>ExcelColNum(AA)</t>
  </si>
  <si>
    <t>ExcelColNum(IV)</t>
  </si>
  <si>
    <t>ExcelColNum(XEZ)</t>
  </si>
  <si>
    <t>ExcelColNum(XFA)</t>
  </si>
  <si>
    <t>ExcelColNum(XFD)</t>
  </si>
  <si>
    <t>Error 1004: Cannot run the macro 'TryToRunANonExistentMacro2'. The macro may not be available in this workbook or all macros may be disabled.</t>
  </si>
  <si>
    <t>= ExcelColNum("A")</t>
  </si>
  <si>
    <t>= ExcelColNum("Z")</t>
  </si>
  <si>
    <t>= ExcelColNum("AA")</t>
  </si>
  <si>
    <t>= ExcelColNum("IV")</t>
  </si>
  <si>
    <t>= ExcelColNum("XEZ")</t>
  </si>
  <si>
    <t>= ExcelColNum("XFA")</t>
  </si>
  <si>
    <t>= ExcelColNum("XFD")</t>
  </si>
  <si>
    <t>Relative 1</t>
  </si>
  <si>
    <t>Relative 2</t>
  </si>
  <si>
    <t>Absolute 1</t>
  </si>
  <si>
    <t>Absolute 2</t>
  </si>
  <si>
    <t>Absolute 3</t>
  </si>
  <si>
    <t>With sheet 1</t>
  </si>
  <si>
    <t>With sheet 2</t>
  </si>
  <si>
    <t>With sheet 3</t>
  </si>
  <si>
    <t>= CellReference(10, 5)</t>
  </si>
  <si>
    <t>= CellReference(5, 10)</t>
  </si>
  <si>
    <t>= CellReference(10, 5, "", TRUE, TRUE)</t>
  </si>
  <si>
    <t>= CellReference(10, 5, "", TRUE, FALSE)</t>
  </si>
  <si>
    <t>= CellReference(10, 5, "", FALSE, TRUE)</t>
  </si>
  <si>
    <t>= CellReference(10, 5, "some sheet")</t>
  </si>
  <si>
    <t>= CellReference(10, 5, "some'sheet")</t>
  </si>
  <si>
    <t>= CellReference(10, 5, "some sheet", TRUE, TRUE)</t>
  </si>
  <si>
    <t>E10</t>
  </si>
  <si>
    <t>J5</t>
  </si>
  <si>
    <t>$E$10</t>
  </si>
  <si>
    <t>E$10</t>
  </si>
  <si>
    <t>$E10</t>
  </si>
  <si>
    <t>'some sheet'!E10</t>
  </si>
  <si>
    <t>'some''sheet'!E10</t>
  </si>
  <si>
    <t>'some sheet'!$E$10</t>
  </si>
  <si>
    <t>ChartExists</t>
  </si>
  <si>
    <t>MkDirRecursive</t>
  </si>
  <si>
    <t>VALUE</t>
  </si>
  <si>
    <t>DIV0</t>
  </si>
  <si>
    <t>= StringJoin(RangeToArray($M$21:$R$21), ",")</t>
  </si>
  <si>
    <t>= StringJoin(RangeToArray($M$28:$M$33), ",")</t>
  </si>
  <si>
    <t>= StringJoin(RangeToArray($M$36:$R$36), ",")</t>
  </si>
  <si>
    <t>= StringJoin(GetUniqueItems(RangeToArray($M$25:$U$25)), ",")</t>
  </si>
  <si>
    <t>= ArrayRank(RangeToArray($M$10:$M$18))</t>
  </si>
  <si>
    <t>= ArrayRank(RangeToArray($O$13:$P$18))</t>
  </si>
  <si>
    <t>= ArrayRank(RangeToArray($M$25:$U$25))</t>
  </si>
  <si>
    <t>= ArrayRank(RangeToArray($M$27:$R$28))</t>
  </si>
  <si>
    <t>= ArrayLen(GetUniqueItems(RangeToArray($M$25:$U$25)))</t>
  </si>
  <si>
    <t>err:#DIV/0!</t>
  </si>
  <si>
    <t>NA</t>
  </si>
  <si>
    <t>NAME</t>
  </si>
  <si>
    <t>NULL</t>
  </si>
  <si>
    <t>NUM</t>
  </si>
  <si>
    <t>REF</t>
  </si>
  <si>
    <t>not an error</t>
  </si>
  <si>
    <t>err:(not an error)</t>
  </si>
  <si>
    <t>err:#N/A</t>
  </si>
  <si>
    <t>= "err:" &amp; ExcelErrorType(W99)</t>
  </si>
  <si>
    <t>= "err:" &amp; ExcelErrorType(W98)</t>
  </si>
  <si>
    <t>= "err:" &amp; ExcelErrorType(W100)</t>
  </si>
  <si>
    <t>= "err:" &amp; ExcelErrorType(W101)</t>
  </si>
  <si>
    <t>err:#NAME?</t>
  </si>
  <si>
    <t>err:#NULL!</t>
  </si>
  <si>
    <t>err:#REF!</t>
  </si>
  <si>
    <t>err:#NUM!</t>
  </si>
  <si>
    <t>err:#VALUE!</t>
  </si>
  <si>
    <t>Messages</t>
  </si>
  <si>
    <t>Test_ShowStatusMessage</t>
  </si>
  <si>
    <t>Test_ClearStatusMessage</t>
  </si>
  <si>
    <t>Test_SendMessageToListener</t>
  </si>
  <si>
    <t>Test status message|19:Test status message - Testing.xlsm</t>
  </si>
  <si>
    <t>FALSE|Microsoft Excel - Testing.xlsm</t>
  </si>
  <si>
    <t>Good chart 1</t>
  </si>
  <si>
    <t>Good chart 2</t>
  </si>
  <si>
    <t>Bad chart 1</t>
  </si>
  <si>
    <t>Bad chart 2</t>
  </si>
  <si>
    <t>= ChartExists("TestChart")</t>
  </si>
  <si>
    <t>= ChartExists("TestChart", "Charts")</t>
  </si>
  <si>
    <t>= ChartExists("TestChartNonExistent")</t>
  </si>
  <si>
    <t>= ChartExists("TestChartNonExistent", "Charts")</t>
  </si>
  <si>
    <t>= "err:" &amp; ExcelErrorType(W102)</t>
  </si>
  <si>
    <t>= "err:" &amp; ExcelErrorType(W103)</t>
  </si>
  <si>
    <t>= "err:" &amp; ExcelErrorType(W104)</t>
  </si>
  <si>
    <t>= "err:" &amp; ExcelErrorType(W105)</t>
  </si>
  <si>
    <t>Top right</t>
  </si>
  <si>
    <t>Top left</t>
  </si>
  <si>
    <t>Bottom left</t>
  </si>
  <si>
    <t>Bottom right</t>
  </si>
  <si>
    <t>Top left single cell</t>
  </si>
  <si>
    <t>Top right single cell</t>
  </si>
  <si>
    <t>Bottom left single cell</t>
  </si>
  <si>
    <t>Bottom right single cell</t>
  </si>
  <si>
    <t>= GetAddress(GetCornerCell(L111:V120, 0))</t>
  </si>
  <si>
    <t>= GetAddress(GetCornerCell(L111, 0))</t>
  </si>
  <si>
    <t>Invalid 1</t>
  </si>
  <si>
    <t>Invalid 2</t>
  </si>
  <si>
    <t>= GetAddress(GetCornerCell(L111:V120, 1))</t>
  </si>
  <si>
    <t>= GetAddress(GetCornerCell(L111:V120, 2))</t>
  </si>
  <si>
    <t>= GetAddress(GetCornerCell(L111:V120, 3))</t>
  </si>
  <si>
    <t>= GetAddress(GetCornerCell(L111, 1))</t>
  </si>
  <si>
    <t>= GetAddress(GetCornerCell(L111, 2))</t>
  </si>
  <si>
    <t>= GetAddress(GetCornerCell(L111, 3))</t>
  </si>
  <si>
    <t>$L$111</t>
  </si>
  <si>
    <t>$V$111</t>
  </si>
  <si>
    <t>$L$120</t>
  </si>
  <si>
    <t>$V$120</t>
  </si>
  <si>
    <t>= "err:" &amp; ExcelErrorType(GetCornerCell(L111:V120, 4))</t>
  </si>
  <si>
    <t>= "err:" &amp; ExcelErrorType(GetCornerCell(L111:V120, -1))</t>
  </si>
  <si>
    <t>GetAllExcelLinks</t>
  </si>
  <si>
    <t>GetExcelLink</t>
  </si>
  <si>
    <t>ExcelLinkExists</t>
  </si>
  <si>
    <t>ExcelLink</t>
  </si>
  <si>
    <t>get ExcelLink.Name</t>
  </si>
  <si>
    <t>get ExcelLink.Status</t>
  </si>
  <si>
    <t>ExcelLink.Initialize</t>
  </si>
  <si>
    <t>ExcelLink.UpdateValues</t>
  </si>
  <si>
    <t>ExcelLink.ChangeSource</t>
  </si>
  <si>
    <t>ExcelLink.OpenSource</t>
  </si>
  <si>
    <t>ExcelLink.Break</t>
  </si>
  <si>
    <t>= ExcelLinkExists("dummy.xlsx")</t>
  </si>
  <si>
    <t>= ExcelLinkExists("dummy2.xlsx")</t>
  </si>
  <si>
    <t>Number of links</t>
  </si>
  <si>
    <t>First link name</t>
  </si>
  <si>
    <t>Test_NumberOfLinks</t>
  </si>
  <si>
    <t>Test_FirstLinkName</t>
  </si>
  <si>
    <t>C:\Projects\_VBA\Library\dummy.xlsx</t>
  </si>
  <si>
    <t>dummy.xlsx link name</t>
  </si>
  <si>
    <t>Test_GetLinkName</t>
  </si>
  <si>
    <t>Link exists 1</t>
  </si>
  <si>
    <t>Link does not exist 1</t>
  </si>
  <si>
    <t>Test_UpdateLinkValues</t>
  </si>
  <si>
    <t>Update link</t>
  </si>
  <si>
    <t>Test_ChangeLinkSource1</t>
  </si>
  <si>
    <t>Link does not exist 2</t>
  </si>
  <si>
    <t>Link exists 2</t>
  </si>
  <si>
    <t>Test_ChangeLinkSource2</t>
  </si>
  <si>
    <t>= Links!A1</t>
  </si>
  <si>
    <t>Verify change source 2</t>
  </si>
  <si>
    <t>Verify change source 1</t>
  </si>
  <si>
    <t>Change source 1</t>
  </si>
  <si>
    <t>Change source 2</t>
  </si>
  <si>
    <t>Break link</t>
  </si>
  <si>
    <t>Test_CreateAndBreakLink</t>
  </si>
  <si>
    <t>0,9,9,0</t>
  </si>
  <si>
    <t>ArraySubset</t>
  </si>
  <si>
    <t>SetValueIfNeeded</t>
  </si>
  <si>
    <t>MathFunctions</t>
  </si>
  <si>
    <t>Min</t>
  </si>
  <si>
    <t>Max</t>
  </si>
  <si>
    <t>Floor</t>
  </si>
  <si>
    <t>Ceiling</t>
  </si>
  <si>
    <t>FlashStatusMessage</t>
  </si>
  <si>
    <t>RefreshAccessConnections</t>
  </si>
  <si>
    <t>g</t>
  </si>
  <si>
    <t>h</t>
  </si>
  <si>
    <t>r</t>
  </si>
  <si>
    <t>f</t>
  </si>
  <si>
    <t>j</t>
  </si>
  <si>
    <t>e</t>
  </si>
  <si>
    <t>w</t>
  </si>
  <si>
    <t>Range array element 1</t>
  </si>
  <si>
    <t>= ArrayElement(RangeToArray($M$137:$U$137), 1)</t>
  </si>
  <si>
    <t>= ArrayElement(RangeToArray($M$137:$U$137), 4)</t>
  </si>
  <si>
    <t>Range array element 2</t>
  </si>
  <si>
    <t>Range array element 3</t>
  </si>
  <si>
    <t>= ArrayElement(RangeToArray($U$137:$U$138), 2)</t>
  </si>
  <si>
    <t>Range array element 4</t>
  </si>
  <si>
    <t>= ArrayElement(RangeToArray($M$137:$U$138), 2, 4)</t>
  </si>
  <si>
    <t>String split 1</t>
  </si>
  <si>
    <t>= ArrayElement(StringSplit("abc,def,ghi", ","), 2)</t>
  </si>
  <si>
    <t>def</t>
  </si>
  <si>
    <t>= StringJoin(StringSplit("abc,def,ghi", ","), ":")</t>
  </si>
  <si>
    <t>abc:def:ghi</t>
  </si>
  <si>
    <t>New line</t>
  </si>
  <si>
    <t>= SUBSTITUTE(SUBSTITUTE(NewLine(), CHAR(10), "^J"), CHAR(13), "^M")</t>
  </si>
  <si>
    <t>^J</t>
  </si>
  <si>
    <t>= ColumnWidth(12)</t>
  </si>
  <si>
    <t>ColumnWidth 2</t>
  </si>
  <si>
    <t>ColumnWidth 1</t>
  </si>
  <si>
    <t>ColumnWidth 3</t>
  </si>
  <si>
    <t>= ColumnWidth(11)</t>
  </si>
  <si>
    <t>= ColumnWidth(13)</t>
  </si>
  <si>
    <t>RowHeight 1</t>
  </si>
  <si>
    <t>= RowHeight(1)</t>
  </si>
  <si>
    <t>GetFormula 1</t>
  </si>
  <si>
    <t>= ":" &amp; GetFormula(TotalTests)</t>
  </si>
  <si>
    <t>:= NumTestsPassing + NumTestsFailing</t>
  </si>
  <si>
    <t>= GetFormula(J2)</t>
  </si>
  <si>
    <t>GetFormula 2</t>
  </si>
  <si>
    <t>GetFormula 3</t>
  </si>
  <si>
    <t>= ":" &amp; GetFormula(G7)</t>
  </si>
  <si>
    <t>:= StringJoin(RangeToArray($O$13:$O$18), ",")</t>
  </si>
  <si>
    <t>GetExcelTable</t>
  </si>
  <si>
    <t>ExcelTable</t>
  </si>
  <si>
    <t>get ExcelTable.Name</t>
  </si>
  <si>
    <t>get ExcelTable.DataRowCount</t>
  </si>
  <si>
    <t>get ExcelTable.ListObject</t>
  </si>
  <si>
    <t>ExcelTable.Initialize</t>
  </si>
  <si>
    <t>ExcelTable.Resize</t>
  </si>
  <si>
    <t>ExcelTable.SetValues</t>
  </si>
  <si>
    <t>Col1</t>
  </si>
  <si>
    <t>Col2</t>
  </si>
  <si>
    <t>Col3</t>
  </si>
  <si>
    <t>Col4</t>
  </si>
  <si>
    <t>Test_ExcelTable_Name</t>
  </si>
  <si>
    <t>Get name</t>
  </si>
  <si>
    <t>Get nonexistent table</t>
  </si>
  <si>
    <t>Test_ExcelTable_Nonexistent</t>
  </si>
  <si>
    <t>Test_ExcelTable_DataRowCount</t>
  </si>
  <si>
    <t>Test_ExcelTable_GetSheetName</t>
  </si>
  <si>
    <t>Test_ExcelTable_Resize_1</t>
  </si>
  <si>
    <t>Get data row count</t>
  </si>
  <si>
    <t>Get worksheet name</t>
  </si>
  <si>
    <t>TblTest1</t>
  </si>
  <si>
    <t>Error 32000: Could not find table 'TblTestZZZ'.</t>
  </si>
  <si>
    <t>Tables</t>
  </si>
  <si>
    <t>Resize and get data range info 1</t>
  </si>
  <si>
    <t>Resize and get data range info 2</t>
  </si>
  <si>
    <t>Resize and get data range info 3</t>
  </si>
  <si>
    <t>Test_ExcelTable_Resize_0</t>
  </si>
  <si>
    <t>Test_ExcelTable_Resize_5</t>
  </si>
  <si>
    <t>$F$5:$I$5|1</t>
  </si>
  <si>
    <t>$F$5:$I$9|5</t>
  </si>
  <si>
    <t>abcd</t>
  </si>
  <si>
    <t>efgh</t>
  </si>
  <si>
    <t>ijkl</t>
  </si>
  <si>
    <t>mnop</t>
  </si>
  <si>
    <t>qrst</t>
  </si>
  <si>
    <t>uvwx</t>
  </si>
  <si>
    <t>yzab</t>
  </si>
  <si>
    <t>cdef</t>
  </si>
  <si>
    <t>ghij</t>
  </si>
  <si>
    <t>klmn</t>
  </si>
  <si>
    <t>Test contents 1</t>
  </si>
  <si>
    <t>Test contents 2</t>
  </si>
  <si>
    <t>Test contents 3</t>
  </si>
  <si>
    <t>Test contents 4</t>
  </si>
  <si>
    <t>Test_ExcelTable_GetValuesAndSurroundingContents</t>
  </si>
  <si>
    <t>:////qrst:////uvwx:////yzab:////cdef:////ghij:abcd/efgh/ijkl/mnop/klmn</t>
  </si>
  <si>
    <t>Resize and get data range info 4</t>
  </si>
  <si>
    <t>Resize and get data range info 5</t>
  </si>
  <si>
    <t>Test contents 5</t>
  </si>
  <si>
    <t>Set values 1</t>
  </si>
  <si>
    <t>Test_ExcelTable_SetValues_1</t>
  </si>
  <si>
    <t>:a12/b34/c56/d78/qrst:f12/g34/h56/i78/uvwx:k12/l34/m56/n78/yzab:p12/q34/r56/s78/cdef:u12/v34/w56/x78/ghij:abcd/efgh/ijkl/mnop/klmn</t>
  </si>
  <si>
    <t>Set values 2</t>
  </si>
  <si>
    <t>Set values 3</t>
  </si>
  <si>
    <t>Test_ExcelTable_SetValues_2</t>
  </si>
  <si>
    <t>Test_ExcelTable_SetValues_3</t>
  </si>
  <si>
    <t>:a12/ab1/cd2/d78/qrst:f12/ef3/gh4/i78/uvwx:k12/ij5/kl6/n78/yzab:p12/q34/r56/s78/cdef:u12/v34/w56/x78/ghij:abcd/efgh/ijkl/mnop/klmn</t>
  </si>
  <si>
    <t>:ab123/cd456/cd2/d78/qrst:ef789/gh012/gh4/i78/uvwx:ij345/kl678/kl6/n78/yzab:////cdef:////ghij:abcd/efgh/ijkl/mnop/klmn</t>
  </si>
  <si>
    <t>ExcelTable.Clear</t>
  </si>
  <si>
    <t>Clear</t>
  </si>
  <si>
    <t>Test_ExcelTable_Clear</t>
  </si>
  <si>
    <t>Set values 4</t>
  </si>
  <si>
    <t>Test_ExcelTable_SetValues_4</t>
  </si>
  <si>
    <t>y</t>
  </si>
  <si>
    <t>ExcelTable.Sort</t>
  </si>
  <si>
    <t>Sort 1</t>
  </si>
  <si>
    <t>Test_ExcelTable_Sort_1</t>
  </si>
  <si>
    <t>:a/x/3/1/qrst:a/y/1/2/uvwx:a/x/2/3/yzab:b/y/2/1/cdef:b/x/1/1/ghij:abcd/efgh/ijkl/mnop/klmn</t>
  </si>
  <si>
    <t>:a/x/2/3/qrst:a/x/3/1/uvwx:a/y/1/2/yzab:b/x/1/1/cdef:b/y/2/1/ghij:abcd/efgh/ijkl/mnop/klmn</t>
  </si>
  <si>
    <t>Error 32000: When sorting a table, the column specifiers must be an array.</t>
  </si>
  <si>
    <t>:b/x/1/1/qrst:a/x/3/1/uvwx:a/x/2/3/yzab:b/y/2/1/cdef:a/y/1/2/ghij:abcd/efgh/ijkl/mnop/klmn</t>
  </si>
  <si>
    <t>Sort 2</t>
  </si>
  <si>
    <t>Test_ExcelTable_Sort_2</t>
  </si>
  <si>
    <t>ExcelTable.ClearSort</t>
  </si>
  <si>
    <t>get ExcelTable.CellValue</t>
  </si>
  <si>
    <t>set ExcelTable.CellValue</t>
  </si>
  <si>
    <t>get ExcelTable.ColumnRange</t>
  </si>
  <si>
    <t>ExcelTable.GetValues</t>
  </si>
  <si>
    <t>Test_ExcelTable_Sort_Error1</t>
  </si>
  <si>
    <t>Sort error 1</t>
  </si>
  <si>
    <t>Sort error 2</t>
  </si>
  <si>
    <t>Test_ExcelTable_Sort_Error2</t>
  </si>
  <si>
    <t>Error 32000: Table 'TblTest1' does not contain a column 'ColNonexistent'.</t>
  </si>
  <si>
    <t>Get value 1</t>
  </si>
  <si>
    <t>Test_ExcelTable_GetValue_1</t>
  </si>
  <si>
    <t>Test_ExcelTable_GetValue_2</t>
  </si>
  <si>
    <t>Test_ExcelTable_GetValue_3</t>
  </si>
  <si>
    <t>Get value 2</t>
  </si>
  <si>
    <t>Get value 3</t>
  </si>
  <si>
    <t>Set value 1</t>
  </si>
  <si>
    <t>Set value 2</t>
  </si>
  <si>
    <t>Set value 3</t>
  </si>
  <si>
    <t>Test_ExcelTable_SetValue_1</t>
  </si>
  <si>
    <t>Test_ExcelTable_SetValue_2</t>
  </si>
  <si>
    <t>Test_ExcelTable_SetValue_3</t>
  </si>
  <si>
    <t>P</t>
  </si>
  <si>
    <t>Q</t>
  </si>
  <si>
    <t>R</t>
  </si>
  <si>
    <t>Get values 1</t>
  </si>
  <si>
    <t>Test_ExcelTable_GetValues_1</t>
  </si>
  <si>
    <t>:b|x|1|1:a|x|3|1:a|x|2|P:b|R|2|1:Q|y|1|2</t>
  </si>
  <si>
    <t>Get values 2</t>
  </si>
  <si>
    <t>Get values 3</t>
  </si>
  <si>
    <t>Get values 4</t>
  </si>
  <si>
    <t>Get values 5</t>
  </si>
  <si>
    <t>Get values 6</t>
  </si>
  <si>
    <t>Test_ExcelTable_GetValues_2</t>
  </si>
  <si>
    <t>Test_ExcelTable_GetValues_3</t>
  </si>
  <si>
    <t>Test_ExcelTable_GetValues_4</t>
  </si>
  <si>
    <t>Test_ExcelTable_GetValues_5</t>
  </si>
  <si>
    <t>Test_ExcelTable_GetValues_6</t>
  </si>
  <si>
    <t>:b|x|1:a|x|3:a|x|2:b|R|2:Q|y|1</t>
  </si>
  <si>
    <t>:1|1:3|1:2|P:2|1:1|2</t>
  </si>
  <si>
    <t>:1:1:P:1:2</t>
  </si>
  <si>
    <t>:x|1:x|3:x|2:R|2:y|1</t>
  </si>
  <si>
    <t>ExcelTable.CreateNamedRanges</t>
  </si>
  <si>
    <t>Create named ranges</t>
  </si>
  <si>
    <t>Test_ExcelTable_CreateNamedRanges</t>
  </si>
  <si>
    <t>F5:F9|G5:G9|H5:H9|I5:I9</t>
  </si>
  <si>
    <t>GetWorkbookFileFormat</t>
  </si>
  <si>
    <t>SaveWorkbookAs</t>
  </si>
  <si>
    <t>GetFileExtension</t>
  </si>
  <si>
    <t>SaveActiveWorkbookAs</t>
  </si>
  <si>
    <t>ExportImportSheets</t>
  </si>
  <si>
    <t>ImportExcelSheets</t>
  </si>
  <si>
    <t>ExportExcelSheets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</si>
</sst>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 applyBorder="1"/>
    <xf numFmtId="0" fontId="1" fillId="2" borderId="10" xfId="0" applyFont="1" applyFill="1" applyBorder="1" applyAlignment="1">
      <alignment horizontal="right"/>
    </xf>
    <xf numFmtId="0" fontId="0" fillId="2" borderId="12" xfId="0" applyFill="1" applyBorder="1" applyAlignment="1">
      <alignment horizontal="left"/>
    </xf>
    <xf numFmtId="0" fontId="1" fillId="2" borderId="15" xfId="0" applyFont="1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quotePrefix="1"/>
    <xf numFmtId="0" fontId="0" fillId="0" borderId="0" xfId="0" quotePrefix="1" applyBorder="1"/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0" fontId="1" fillId="2" borderId="20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0" fillId="0" borderId="0" xfId="0" applyFont="1" applyAlignment="1">
      <alignment horizontal="centerContinuous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quotePrefix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8000"/>
      <color rgb="FFFFCCCC"/>
      <color rgb="FFFFFFCC"/>
      <color rgb="FF0066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tx>
            <c:strRef>
              <c:f>Charts!$B$2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Charts!$B$3:$B$6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</c:ser>
        <c:ser>
          <c:idx val="1"/>
          <c:order val="1"/>
          <c:tx>
            <c:strRef>
              <c:f>Charts!$C$2</c:f>
              <c:strCache>
                <c:ptCount val="1"/>
                <c:pt idx="0">
                  <c:v>b</c:v>
                </c:pt>
              </c:strCache>
            </c:strRef>
          </c:tx>
          <c:val>
            <c:numRef>
              <c:f>Charts!$C$3:$C$6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</c:ser>
        <c:axId val="22513152"/>
        <c:axId val="22514688"/>
      </c:barChart>
      <c:catAx>
        <c:axId val="22513152"/>
        <c:scaling>
          <c:orientation val="minMax"/>
        </c:scaling>
        <c:axPos val="b"/>
        <c:tickLblPos val="nextTo"/>
        <c:crossAx val="22514688"/>
        <c:crosses val="autoZero"/>
        <c:auto val="1"/>
        <c:lblAlgn val="ctr"/>
        <c:lblOffset val="100"/>
      </c:catAx>
      <c:valAx>
        <c:axId val="22514688"/>
        <c:scaling>
          <c:orientation val="minMax"/>
        </c:scaling>
        <c:axPos val="l"/>
        <c:majorGridlines/>
        <c:numFmt formatCode="General" sourceLinked="1"/>
        <c:tickLblPos val="nextTo"/>
        <c:crossAx val="2251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Test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ummy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ummy"/>
    </sheetNames>
    <sheetDataSet>
      <sheetData sheetId="0">
        <row r="1">
          <cell r="A1" t="str">
            <v>a</v>
          </cell>
        </row>
        <row r="2">
          <cell r="A2" t="str">
            <v>b</v>
          </cell>
        </row>
        <row r="3">
          <cell r="A3" t="str">
            <v>c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id="1" name="TblCoverage" displayName="TblCoverage" ref="A1:E100" totalsRowShown="0" headerRowDxfId="3">
  <autoFilter ref="A1:E100">
    <filterColumn colId="4"/>
  </autoFilter>
  <tableColumns count="5">
    <tableColumn id="1" name="Module"/>
    <tableColumn id="2" name="Function"/>
    <tableColumn id="3" name="Direct Tests" dataDxfId="2">
      <calculatedColumnFormula xml:space="preserve"> COUNTIFS(Tests!$A:$A,[Function], Tests!$C:$C,"Direct")</calculatedColumnFormula>
    </tableColumn>
    <tableColumn id="4" name="Indirect Tests" dataDxfId="1">
      <calculatedColumnFormula xml:space="preserve"> COUNTIFS(Tests!$A:$A,[Function], Tests!$C:$C,"Indirect")</calculatedColumnFormula>
    </tableColumn>
    <tableColumn id="6" name="Covered" dataDxfId="0">
      <calculatedColumnFormula xml:space="preserve"> [Direct Tests] + [Indirect Tests] &gt; 0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Test1" displayName="TblTest1" ref="F4:I9" totalsRowShown="0">
  <autoFilter ref="F4:I9"/>
  <sortState ref="F5:I9">
    <sortCondition ref="G5:G9"/>
    <sortCondition descending="1" ref="F5:F9"/>
    <sortCondition ref="I5:I9"/>
  </sortState>
  <tableColumns count="4">
    <tableColumn id="1" name="Col1"/>
    <tableColumn id="2" name="Col2"/>
    <tableColumn id="3" name="Col3"/>
    <tableColumn id="4" name="Col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_Tests">
    <tabColor rgb="FFFFFF00"/>
    <pageSetUpPr autoPageBreaks="0"/>
  </sheetPr>
  <dimension ref="A1:W189"/>
  <sheetViews>
    <sheetView tabSelected="1" topLeftCell="B1" zoomScale="85" zoomScaleNormal="85" workbookViewId="0">
      <pane ySplit="5" topLeftCell="A141" activePane="bottomLeft" state="frozen"/>
      <selection activeCell="A6" sqref="A6"/>
      <selection pane="bottomLeft" activeCell="G189" sqref="G189"/>
    </sheetView>
  </sheetViews>
  <sheetFormatPr defaultRowHeight="15"/>
  <cols>
    <col min="1" max="1" width="33.42578125" customWidth="1"/>
    <col min="2" max="2" width="6.5703125" bestFit="1" customWidth="1"/>
    <col min="3" max="3" width="14.140625" bestFit="1" customWidth="1"/>
    <col min="4" max="4" width="4.42578125" customWidth="1"/>
    <col min="5" max="5" width="30.5703125" bestFit="1" customWidth="1"/>
    <col min="6" max="6" width="39.140625" bestFit="1" customWidth="1"/>
    <col min="7" max="7" width="67.42578125" bestFit="1" customWidth="1"/>
    <col min="8" max="8" width="11.140625" customWidth="1"/>
    <col min="9" max="9" width="11.5703125" customWidth="1"/>
    <col min="10" max="10" width="8.85546875" style="2" bestFit="1" customWidth="1"/>
    <col min="12" max="22" width="3" customWidth="1"/>
  </cols>
  <sheetData>
    <row r="1" spans="1:23" ht="15.75" thickBot="1">
      <c r="A1" s="1"/>
      <c r="B1" s="1"/>
    </row>
    <row r="2" spans="1:23">
      <c r="A2" s="1"/>
      <c r="B2" s="1"/>
      <c r="H2" s="34" t="s">
        <v>77</v>
      </c>
      <c r="I2" s="42">
        <f xml:space="preserve"> NumTestsPassing + NumTestsFailing</f>
        <v>145</v>
      </c>
      <c r="J2" s="44" t="s">
        <v>58</v>
      </c>
      <c r="K2" s="35">
        <f xml:space="preserve"> COUNTIF(TestChecks, "PASS")</f>
        <v>145</v>
      </c>
    </row>
    <row r="3" spans="1:23" ht="15.75" thickBot="1">
      <c r="A3" s="1"/>
      <c r="B3" s="1"/>
      <c r="H3" s="36" t="s">
        <v>78</v>
      </c>
      <c r="I3" s="43">
        <f t="array" ref="I3" xml:space="preserve"> MAX(IF(ISBLANK(TestSpecs), 0, ROW(TestSpecs)))</f>
        <v>189</v>
      </c>
      <c r="J3" s="45" t="s">
        <v>59</v>
      </c>
      <c r="K3" s="37">
        <f xml:space="preserve"> COUNTIF(TestChecks, "FAIL")</f>
        <v>0</v>
      </c>
    </row>
    <row r="4" spans="1:23">
      <c r="D4" s="1"/>
      <c r="K4" s="1"/>
    </row>
    <row r="5" spans="1:23">
      <c r="A5" s="1" t="s">
        <v>1</v>
      </c>
      <c r="B5" s="1" t="s">
        <v>84</v>
      </c>
      <c r="C5" s="1" t="s">
        <v>116</v>
      </c>
      <c r="E5" s="1" t="s">
        <v>56</v>
      </c>
      <c r="F5" s="1" t="s">
        <v>115</v>
      </c>
      <c r="G5" s="1" t="s">
        <v>5</v>
      </c>
      <c r="H5" s="1" t="s">
        <v>60</v>
      </c>
      <c r="I5" s="1" t="s">
        <v>6</v>
      </c>
      <c r="J5" s="32" t="s">
        <v>114</v>
      </c>
      <c r="L5" s="46" t="s">
        <v>130</v>
      </c>
      <c r="M5" s="46"/>
      <c r="N5" s="46"/>
      <c r="O5" s="46"/>
      <c r="P5" s="46"/>
      <c r="Q5" s="46"/>
      <c r="R5" s="46"/>
      <c r="S5" s="46"/>
      <c r="T5" s="46"/>
      <c r="U5" s="46"/>
      <c r="V5" s="46"/>
      <c r="W5" s="14"/>
    </row>
    <row r="6" spans="1:23">
      <c r="A6" s="1"/>
      <c r="B6" s="1"/>
      <c r="C6" s="1"/>
      <c r="E6" s="1"/>
      <c r="F6" s="1"/>
      <c r="G6" s="1"/>
      <c r="H6" s="1"/>
      <c r="I6" s="1"/>
      <c r="J6" s="32"/>
      <c r="K6" s="14"/>
      <c r="W6" s="14"/>
    </row>
    <row r="7" spans="1:23" ht="15.75" thickBot="1">
      <c r="A7" t="s">
        <v>50</v>
      </c>
      <c r="B7" t="b">
        <f xml:space="preserve"> NOT(ISNA(MATCH(A7, TblCoverage[Function], 0)))</f>
        <v>1</v>
      </c>
      <c r="C7" t="s">
        <v>52</v>
      </c>
      <c r="D7" s="14"/>
      <c r="E7" t="s">
        <v>66</v>
      </c>
      <c r="F7" t="s">
        <v>61</v>
      </c>
      <c r="G7" s="40" t="s">
        <v>121</v>
      </c>
      <c r="H7" t="s">
        <v>57</v>
      </c>
      <c r="I7" t="s">
        <v>57</v>
      </c>
      <c r="J7" s="2" t="str">
        <f xml:space="preserve"> IF(H7 = I7, "PASS", "FAIL")</f>
        <v>PASS</v>
      </c>
      <c r="K7" s="14"/>
      <c r="W7" s="14"/>
    </row>
    <row r="8" spans="1:23">
      <c r="A8" t="s">
        <v>49</v>
      </c>
      <c r="B8" t="b">
        <f xml:space="preserve"> NOT(ISNA(MATCH(A8, TblCoverage[Function], 0)))</f>
        <v>1</v>
      </c>
      <c r="C8" t="s">
        <v>52</v>
      </c>
      <c r="D8" s="14"/>
      <c r="E8" t="s">
        <v>66</v>
      </c>
      <c r="F8" s="14" t="s">
        <v>62</v>
      </c>
      <c r="G8" s="41" t="s">
        <v>223</v>
      </c>
      <c r="H8" s="14" t="s">
        <v>57</v>
      </c>
      <c r="I8" t="s">
        <v>57</v>
      </c>
      <c r="J8" s="2" t="str">
        <f xml:space="preserve"> IF(H8 = I8, "PASS", "FAIL")</f>
        <v>PASS</v>
      </c>
      <c r="K8" s="14"/>
      <c r="L8" s="10"/>
      <c r="M8" s="11"/>
      <c r="N8" s="11"/>
      <c r="O8" s="11"/>
      <c r="P8" s="11"/>
      <c r="Q8" s="11"/>
      <c r="R8" s="11"/>
      <c r="S8" s="11"/>
      <c r="T8" s="11"/>
      <c r="U8" s="11"/>
      <c r="V8" s="12"/>
      <c r="W8" s="14"/>
    </row>
    <row r="9" spans="1:23">
      <c r="A9" t="s">
        <v>51</v>
      </c>
      <c r="B9" t="b">
        <f xml:space="preserve"> NOT(ISNA(MATCH(A9, TblCoverage[Function], 0)))</f>
        <v>1</v>
      </c>
      <c r="C9" t="s">
        <v>52</v>
      </c>
      <c r="D9" s="14"/>
      <c r="E9" t="s">
        <v>66</v>
      </c>
      <c r="F9" s="33" t="s">
        <v>64</v>
      </c>
      <c r="G9" s="41" t="s">
        <v>122</v>
      </c>
      <c r="H9" s="14" t="s">
        <v>57</v>
      </c>
      <c r="I9" t="s">
        <v>57</v>
      </c>
      <c r="J9" s="2" t="str">
        <f xml:space="preserve"> IF(H9 = I9, "PASS", "FAIL")</f>
        <v>PASS</v>
      </c>
      <c r="K9" s="14"/>
      <c r="L9" s="13"/>
      <c r="M9" s="26" t="s">
        <v>117</v>
      </c>
      <c r="N9" s="27"/>
      <c r="O9" s="27"/>
      <c r="P9" s="27"/>
      <c r="Q9" s="28"/>
      <c r="R9" s="14"/>
      <c r="S9" s="14"/>
      <c r="T9" s="14"/>
      <c r="U9" s="14"/>
      <c r="V9" s="15"/>
      <c r="W9" s="14"/>
    </row>
    <row r="10" spans="1:23">
      <c r="A10" t="s">
        <v>4</v>
      </c>
      <c r="B10" t="b">
        <f xml:space="preserve"> NOT(ISNA(MATCH(A10, TblCoverage[Function], 0)))</f>
        <v>1</v>
      </c>
      <c r="C10" t="s">
        <v>52</v>
      </c>
      <c r="D10" s="14"/>
      <c r="E10" t="s">
        <v>66</v>
      </c>
      <c r="F10" s="33" t="s">
        <v>65</v>
      </c>
      <c r="G10" s="41" t="s">
        <v>123</v>
      </c>
      <c r="H10" s="14">
        <v>6</v>
      </c>
      <c r="I10" s="14">
        <v>6</v>
      </c>
      <c r="J10" s="2" t="str">
        <f xml:space="preserve"> IF(H10 = I10, "PASS", "FAIL")</f>
        <v>PASS</v>
      </c>
      <c r="K10" s="14"/>
      <c r="L10" s="13"/>
      <c r="M10" s="29">
        <v>1</v>
      </c>
      <c r="N10" s="14"/>
      <c r="O10" s="14"/>
      <c r="P10" s="14"/>
      <c r="Q10" s="14"/>
      <c r="R10" s="14"/>
      <c r="S10" s="14"/>
      <c r="T10" s="14"/>
      <c r="U10" s="14"/>
      <c r="V10" s="15"/>
      <c r="W10" s="14"/>
    </row>
    <row r="11" spans="1:23">
      <c r="A11" t="s">
        <v>3</v>
      </c>
      <c r="B11" t="b">
        <f xml:space="preserve"> NOT(ISNA(MATCH(A11, TblCoverage[Function], 0)))</f>
        <v>1</v>
      </c>
      <c r="C11" t="s">
        <v>55</v>
      </c>
      <c r="D11" s="14"/>
      <c r="F11" s="33"/>
      <c r="G11" s="14"/>
      <c r="H11" s="14"/>
      <c r="I11" s="33"/>
      <c r="K11" s="14"/>
      <c r="L11" s="13"/>
      <c r="M11" s="30">
        <v>2</v>
      </c>
      <c r="N11" s="14"/>
      <c r="O11" s="14"/>
      <c r="P11" s="14"/>
      <c r="Q11" s="14"/>
      <c r="R11" s="14"/>
      <c r="S11" s="14"/>
      <c r="T11" s="14"/>
      <c r="U11" s="14"/>
      <c r="V11" s="15"/>
      <c r="W11" s="14"/>
    </row>
    <row r="12" spans="1:23">
      <c r="A12" t="s">
        <v>48</v>
      </c>
      <c r="B12" t="b">
        <f xml:space="preserve"> NOT(ISNA(MATCH(A12, TblCoverage[Function], 0)))</f>
        <v>1</v>
      </c>
      <c r="C12" t="s">
        <v>55</v>
      </c>
      <c r="D12" s="14"/>
      <c r="F12" s="33"/>
      <c r="G12" s="14"/>
      <c r="H12" s="14"/>
      <c r="I12" s="33"/>
      <c r="K12" s="14"/>
      <c r="L12" s="13"/>
      <c r="M12" s="30">
        <v>2</v>
      </c>
      <c r="N12" s="14"/>
      <c r="O12" s="3" t="s">
        <v>119</v>
      </c>
      <c r="P12" s="4"/>
      <c r="Q12" s="4"/>
      <c r="R12" s="4"/>
      <c r="S12" s="4"/>
      <c r="T12" s="4"/>
      <c r="U12" s="5"/>
      <c r="V12" s="15"/>
      <c r="W12" s="14"/>
    </row>
    <row r="13" spans="1:23">
      <c r="A13" t="s">
        <v>47</v>
      </c>
      <c r="B13" t="b">
        <f xml:space="preserve"> NOT(ISNA(MATCH(A13, TblCoverage[Function], 0)))</f>
        <v>1</v>
      </c>
      <c r="C13" t="s">
        <v>55</v>
      </c>
      <c r="D13" s="14"/>
      <c r="F13" s="33"/>
      <c r="G13" s="14"/>
      <c r="H13" s="14"/>
      <c r="I13" s="33"/>
      <c r="K13" s="14"/>
      <c r="L13" s="13"/>
      <c r="M13" s="30" t="s">
        <v>44</v>
      </c>
      <c r="N13" s="14"/>
      <c r="O13" s="6">
        <f t="array" ref="O13:O18" xml:space="preserve"> GetArrayForFormula(GetUniqueItems(RangeToArray($M$10:$M$18)))</f>
        <v>1</v>
      </c>
      <c r="P13" s="14"/>
      <c r="Q13" s="14"/>
      <c r="R13" s="14"/>
      <c r="S13" s="14"/>
      <c r="T13" s="14"/>
      <c r="U13" s="14"/>
      <c r="V13" s="15"/>
      <c r="W13" s="14"/>
    </row>
    <row r="14" spans="1:23">
      <c r="A14" t="s">
        <v>53</v>
      </c>
      <c r="B14" t="b">
        <f xml:space="preserve"> NOT(ISNA(MATCH(A14, TblCoverage[Function], 0)))</f>
        <v>1</v>
      </c>
      <c r="C14" t="s">
        <v>55</v>
      </c>
      <c r="D14" s="14"/>
      <c r="F14" s="33"/>
      <c r="G14" s="14"/>
      <c r="H14" s="14"/>
      <c r="I14" s="33"/>
      <c r="K14" s="14"/>
      <c r="L14" s="13"/>
      <c r="M14" s="30" t="s">
        <v>45</v>
      </c>
      <c r="N14" s="14"/>
      <c r="O14" s="7">
        <v>2</v>
      </c>
      <c r="P14" s="14"/>
      <c r="Q14" s="14"/>
      <c r="R14" s="14"/>
      <c r="S14" s="14"/>
      <c r="T14" s="14"/>
      <c r="U14" s="14"/>
      <c r="V14" s="15"/>
      <c r="W14" s="14"/>
    </row>
    <row r="15" spans="1:23">
      <c r="A15" t="s">
        <v>94</v>
      </c>
      <c r="B15" t="b">
        <f xml:space="preserve"> NOT(ISNA(MATCH(A15, TblCoverage[Function], 0)))</f>
        <v>1</v>
      </c>
      <c r="C15" t="s">
        <v>55</v>
      </c>
      <c r="D15" s="14"/>
      <c r="F15" s="33"/>
      <c r="G15" s="14"/>
      <c r="H15" s="14"/>
      <c r="I15" s="33"/>
      <c r="K15" s="14"/>
      <c r="L15" s="13"/>
      <c r="M15" s="30" t="s">
        <v>44</v>
      </c>
      <c r="N15" s="14"/>
      <c r="O15" s="7">
        <v>3</v>
      </c>
      <c r="P15" s="14"/>
      <c r="Q15" s="14"/>
      <c r="R15" s="14"/>
      <c r="S15" s="14"/>
      <c r="T15" s="14"/>
      <c r="U15" s="14"/>
      <c r="V15" s="15"/>
      <c r="W15" s="14"/>
    </row>
    <row r="16" spans="1:23">
      <c r="A16" t="s">
        <v>63</v>
      </c>
      <c r="B16" t="b">
        <f xml:space="preserve"> NOT(ISNA(MATCH(A16, TblCoverage[Function], 0)))</f>
        <v>1</v>
      </c>
      <c r="C16" t="s">
        <v>52</v>
      </c>
      <c r="D16" s="14"/>
      <c r="F16" s="33"/>
      <c r="G16" s="14"/>
      <c r="H16" s="14"/>
      <c r="I16" s="33"/>
      <c r="K16" s="14"/>
      <c r="L16" s="13"/>
      <c r="M16" s="30" t="s">
        <v>46</v>
      </c>
      <c r="N16" s="14"/>
      <c r="O16" s="7" t="str">
        <v>a</v>
      </c>
      <c r="P16" s="14"/>
      <c r="Q16" s="14"/>
      <c r="R16" s="14"/>
      <c r="S16" s="14"/>
      <c r="T16" s="14"/>
      <c r="U16" s="14"/>
      <c r="V16" s="15"/>
      <c r="W16" s="14"/>
    </row>
    <row r="17" spans="4:23">
      <c r="D17" s="14"/>
      <c r="F17" s="33"/>
      <c r="G17" s="14"/>
      <c r="H17" s="14"/>
      <c r="I17" s="33"/>
      <c r="K17" s="14"/>
      <c r="L17" s="13"/>
      <c r="M17" s="30" t="s">
        <v>45</v>
      </c>
      <c r="N17" s="14"/>
      <c r="O17" s="7" t="str">
        <v>b</v>
      </c>
      <c r="P17" s="14"/>
      <c r="V17" s="15"/>
      <c r="W17" s="14"/>
    </row>
    <row r="18" spans="4:23">
      <c r="D18" s="14"/>
      <c r="F18" s="33"/>
      <c r="G18" s="14"/>
      <c r="H18" s="14"/>
      <c r="I18" s="33"/>
      <c r="K18" s="14"/>
      <c r="L18" s="13"/>
      <c r="M18" s="31">
        <v>3</v>
      </c>
      <c r="N18" s="14"/>
      <c r="O18" s="8" t="str">
        <v>c</v>
      </c>
      <c r="P18" s="14"/>
      <c r="V18" s="15"/>
      <c r="W18" s="14"/>
    </row>
    <row r="19" spans="4:23">
      <c r="D19" s="14"/>
      <c r="F19" s="33"/>
      <c r="G19" s="14"/>
      <c r="H19" s="14"/>
      <c r="I19" s="33"/>
      <c r="K19" s="14"/>
      <c r="L19" s="13"/>
      <c r="M19" s="14"/>
      <c r="N19" s="14"/>
      <c r="O19" s="14"/>
      <c r="P19" s="14"/>
      <c r="Q19" s="14"/>
      <c r="R19" s="14"/>
      <c r="S19" s="14"/>
      <c r="T19" s="14"/>
      <c r="U19" s="14"/>
      <c r="V19" s="15"/>
      <c r="W19" s="14"/>
    </row>
    <row r="20" spans="4:23">
      <c r="D20" s="14"/>
      <c r="F20" s="33"/>
      <c r="G20" s="14"/>
      <c r="H20" s="14"/>
      <c r="I20" s="33"/>
      <c r="K20" s="14"/>
      <c r="L20" s="13"/>
      <c r="M20" s="3" t="s">
        <v>118</v>
      </c>
      <c r="N20" s="4"/>
      <c r="O20" s="4"/>
      <c r="P20" s="4"/>
      <c r="Q20" s="4"/>
      <c r="R20" s="4"/>
      <c r="S20" s="4"/>
      <c r="T20" s="5"/>
      <c r="U20" s="14"/>
      <c r="V20" s="15"/>
      <c r="W20" s="14"/>
    </row>
    <row r="21" spans="4:23">
      <c r="D21" s="14"/>
      <c r="F21" s="33"/>
      <c r="G21" s="14"/>
      <c r="H21" s="14"/>
      <c r="I21" s="33"/>
      <c r="K21" s="14"/>
      <c r="L21" s="13"/>
      <c r="M21" s="47">
        <f t="array" ref="M21:R21" xml:space="preserve"> GetArrayForFormula(GetUniqueItems(RangeToArray($M$10:$M$18)))</f>
        <v>1</v>
      </c>
      <c r="N21" s="48">
        <v>2</v>
      </c>
      <c r="O21" s="48">
        <v>3</v>
      </c>
      <c r="P21" s="48" t="str">
        <v>a</v>
      </c>
      <c r="Q21" s="48" t="str">
        <v>b</v>
      </c>
      <c r="R21" s="49" t="str">
        <v>c</v>
      </c>
      <c r="S21" s="14"/>
      <c r="T21" s="14"/>
      <c r="U21" s="14"/>
      <c r="V21" s="15"/>
      <c r="W21" s="14"/>
    </row>
    <row r="22" spans="4:23" ht="15.75" thickBot="1">
      <c r="D22" s="14"/>
      <c r="F22" s="33"/>
      <c r="G22" s="14"/>
      <c r="H22" s="14"/>
      <c r="I22" s="33"/>
      <c r="K22" s="14"/>
      <c r="L22" s="17"/>
      <c r="M22" s="18"/>
      <c r="N22" s="18"/>
      <c r="O22" s="18"/>
      <c r="P22" s="18"/>
      <c r="Q22" s="18"/>
      <c r="R22" s="18"/>
      <c r="S22" s="18"/>
      <c r="T22" s="18"/>
      <c r="U22" s="18"/>
      <c r="V22" s="19"/>
      <c r="W22" s="14"/>
    </row>
    <row r="23" spans="4:23">
      <c r="D23" s="14"/>
      <c r="F23" s="14"/>
      <c r="G23" s="14"/>
      <c r="H23" s="14"/>
      <c r="I23" s="33"/>
      <c r="K23" s="14"/>
      <c r="L23" s="10"/>
      <c r="M23" s="11"/>
      <c r="N23" s="11"/>
      <c r="O23" s="11"/>
      <c r="P23" s="11"/>
      <c r="Q23" s="11"/>
      <c r="R23" s="11"/>
      <c r="S23" s="11"/>
      <c r="T23" s="11"/>
      <c r="U23" s="11"/>
      <c r="V23" s="12"/>
      <c r="W23" s="14"/>
    </row>
    <row r="24" spans="4:23">
      <c r="D24" s="14"/>
      <c r="E24" t="s">
        <v>67</v>
      </c>
      <c r="F24" t="s">
        <v>61</v>
      </c>
      <c r="G24" s="41" t="s">
        <v>224</v>
      </c>
      <c r="H24" s="14" t="s">
        <v>68</v>
      </c>
      <c r="I24" s="33" t="s">
        <v>68</v>
      </c>
      <c r="J24" s="2" t="str">
        <f xml:space="preserve"> IF(H24 = I24, "PASS", "FAIL")</f>
        <v>PASS</v>
      </c>
      <c r="K24" s="14"/>
      <c r="L24" s="13"/>
      <c r="M24" s="20" t="s">
        <v>120</v>
      </c>
      <c r="N24" s="21"/>
      <c r="O24" s="21"/>
      <c r="P24" s="21"/>
      <c r="Q24" s="22"/>
      <c r="R24" s="14"/>
      <c r="S24" s="14"/>
      <c r="T24" s="14"/>
      <c r="U24" s="14"/>
      <c r="V24" s="15"/>
      <c r="W24" s="14"/>
    </row>
    <row r="25" spans="4:23">
      <c r="D25" s="14"/>
      <c r="E25" t="s">
        <v>67</v>
      </c>
      <c r="F25" s="14" t="s">
        <v>62</v>
      </c>
      <c r="G25" s="41" t="s">
        <v>225</v>
      </c>
      <c r="H25" s="14" t="s">
        <v>68</v>
      </c>
      <c r="I25" s="33" t="s">
        <v>68</v>
      </c>
      <c r="J25" s="2" t="str">
        <f xml:space="preserve"> IF(H25 = I25, "PASS", "FAIL")</f>
        <v>PASS</v>
      </c>
      <c r="K25" s="14"/>
      <c r="L25" s="13"/>
      <c r="M25" s="23">
        <v>2</v>
      </c>
      <c r="N25" s="24">
        <v>1</v>
      </c>
      <c r="O25" s="24" t="s">
        <v>46</v>
      </c>
      <c r="P25" s="24" t="s">
        <v>54</v>
      </c>
      <c r="Q25" s="24" t="s">
        <v>45</v>
      </c>
      <c r="R25" s="24" t="s">
        <v>44</v>
      </c>
      <c r="S25" s="24" t="s">
        <v>46</v>
      </c>
      <c r="T25" s="24" t="s">
        <v>45</v>
      </c>
      <c r="U25" s="25" t="s">
        <v>54</v>
      </c>
      <c r="V25" s="15"/>
      <c r="W25" s="14"/>
    </row>
    <row r="26" spans="4:23">
      <c r="D26" s="14"/>
      <c r="E26" t="s">
        <v>67</v>
      </c>
      <c r="F26" s="33" t="s">
        <v>64</v>
      </c>
      <c r="G26" s="41" t="s">
        <v>226</v>
      </c>
      <c r="H26" s="14" t="s">
        <v>68</v>
      </c>
      <c r="I26" s="33" t="s">
        <v>68</v>
      </c>
      <c r="J26" s="2" t="str">
        <f xml:space="preserve"> IF(H26 = I26, "PASS", "FAIL")</f>
        <v>PASS</v>
      </c>
      <c r="K26" s="14"/>
      <c r="L26" s="13"/>
      <c r="M26" s="14"/>
      <c r="N26" s="14"/>
      <c r="O26" s="14"/>
      <c r="P26" s="14"/>
      <c r="Q26" s="14"/>
      <c r="R26" s="14"/>
      <c r="S26" s="14"/>
      <c r="T26" s="14"/>
      <c r="U26" s="14"/>
      <c r="V26" s="15"/>
      <c r="W26" s="14"/>
    </row>
    <row r="27" spans="4:23">
      <c r="D27" s="14"/>
      <c r="E27" t="s">
        <v>67</v>
      </c>
      <c r="F27" s="33" t="s">
        <v>65</v>
      </c>
      <c r="G27" s="41" t="s">
        <v>231</v>
      </c>
      <c r="H27" s="14">
        <v>6</v>
      </c>
      <c r="I27" s="14">
        <v>6</v>
      </c>
      <c r="J27" s="2" t="str">
        <f xml:space="preserve"> IF(H27 = I27, "PASS", "FAIL")</f>
        <v>PASS</v>
      </c>
      <c r="K27" s="14"/>
      <c r="L27" s="13"/>
      <c r="M27" s="3" t="s">
        <v>119</v>
      </c>
      <c r="N27" s="4"/>
      <c r="O27" s="4"/>
      <c r="P27" s="4"/>
      <c r="Q27" s="4"/>
      <c r="R27" s="4"/>
      <c r="S27" s="5"/>
      <c r="T27" s="14"/>
      <c r="U27" s="14"/>
      <c r="V27" s="15"/>
      <c r="W27" s="14"/>
    </row>
    <row r="28" spans="4:23">
      <c r="D28" s="14"/>
      <c r="E28" s="14"/>
      <c r="F28" s="14"/>
      <c r="G28" s="14"/>
      <c r="H28" s="14"/>
      <c r="I28" s="14"/>
      <c r="J28" s="16"/>
      <c r="K28" s="14"/>
      <c r="L28" s="13"/>
      <c r="M28" s="6">
        <f t="array" ref="M28:M33" xml:space="preserve"> GetArrayForFormula(GetUniqueItems(RangeToArray($M$25:$U$25)))</f>
        <v>1</v>
      </c>
      <c r="N28" s="14"/>
      <c r="O28" s="14"/>
      <c r="P28" s="14"/>
      <c r="Q28" s="14"/>
      <c r="R28" s="14"/>
      <c r="S28" s="14"/>
      <c r="T28" s="14"/>
      <c r="U28" s="14"/>
      <c r="V28" s="15"/>
      <c r="W28" s="14"/>
    </row>
    <row r="29" spans="4:23">
      <c r="D29" s="14"/>
      <c r="E29" s="14"/>
      <c r="F29" s="14"/>
      <c r="G29" s="14"/>
      <c r="H29" s="14"/>
      <c r="I29" s="14"/>
      <c r="J29" s="16"/>
      <c r="K29" s="14"/>
      <c r="L29" s="13"/>
      <c r="M29" s="7">
        <v>2</v>
      </c>
      <c r="N29" s="14"/>
      <c r="O29" s="14"/>
      <c r="P29" s="14"/>
      <c r="Q29" s="14"/>
      <c r="R29" s="14"/>
      <c r="S29" s="14"/>
      <c r="T29" s="14"/>
      <c r="U29" s="14"/>
      <c r="V29" s="15"/>
      <c r="W29" s="14"/>
    </row>
    <row r="30" spans="4:23">
      <c r="D30" s="14"/>
      <c r="E30" s="14"/>
      <c r="F30" s="14"/>
      <c r="G30" s="14"/>
      <c r="H30" s="14"/>
      <c r="I30" s="14"/>
      <c r="J30" s="16"/>
      <c r="K30" s="14"/>
      <c r="L30" s="13"/>
      <c r="M30" s="7" t="str">
        <v>a</v>
      </c>
      <c r="N30" s="14"/>
      <c r="O30" s="14"/>
      <c r="P30" s="14"/>
      <c r="Q30" s="14"/>
      <c r="R30" s="14"/>
      <c r="S30" s="14"/>
      <c r="T30" s="14"/>
      <c r="U30" s="14"/>
      <c r="V30" s="15"/>
      <c r="W30" s="14"/>
    </row>
    <row r="31" spans="4:23">
      <c r="D31" s="14"/>
      <c r="E31" s="14"/>
      <c r="F31" s="14"/>
      <c r="G31" s="14"/>
      <c r="H31" s="14"/>
      <c r="I31" s="14"/>
      <c r="J31" s="16"/>
      <c r="K31" s="14"/>
      <c r="L31" s="13"/>
      <c r="M31" s="7" t="str">
        <v>b</v>
      </c>
      <c r="N31" s="14"/>
      <c r="O31" s="14"/>
      <c r="P31" s="14"/>
      <c r="Q31" s="14"/>
      <c r="R31" s="14"/>
      <c r="S31" s="14"/>
      <c r="T31" s="14"/>
      <c r="U31" s="14"/>
      <c r="V31" s="15"/>
      <c r="W31" s="14"/>
    </row>
    <row r="32" spans="4:23">
      <c r="D32" s="14"/>
      <c r="E32" s="14"/>
      <c r="F32" s="14"/>
      <c r="G32" s="14"/>
      <c r="H32" s="14"/>
      <c r="I32" s="14"/>
      <c r="J32" s="16"/>
      <c r="K32" s="14"/>
      <c r="L32" s="13"/>
      <c r="M32" s="7" t="str">
        <v>c</v>
      </c>
      <c r="N32" s="14"/>
      <c r="V32" s="15"/>
      <c r="W32" s="14"/>
    </row>
    <row r="33" spans="1:22">
      <c r="D33" s="14"/>
      <c r="E33" s="14"/>
      <c r="F33" s="14"/>
      <c r="G33" s="14"/>
      <c r="H33" s="14"/>
      <c r="I33" s="14"/>
      <c r="J33" s="16"/>
      <c r="K33" s="14"/>
      <c r="L33" s="13"/>
      <c r="M33" s="8" t="str">
        <v>x</v>
      </c>
      <c r="N33" s="14"/>
      <c r="V33" s="15"/>
    </row>
    <row r="34" spans="1:22">
      <c r="D34" s="14"/>
      <c r="E34" s="14"/>
      <c r="F34" s="14"/>
      <c r="G34" s="14"/>
      <c r="H34" s="14"/>
      <c r="I34" s="14"/>
      <c r="J34" s="16"/>
      <c r="K34" s="14"/>
      <c r="L34" s="13"/>
      <c r="M34" s="16"/>
      <c r="N34" s="14"/>
      <c r="O34" s="16"/>
      <c r="P34" s="16"/>
      <c r="Q34" s="16"/>
      <c r="R34" s="16"/>
      <c r="S34" s="16"/>
      <c r="T34" s="16"/>
      <c r="U34" s="14"/>
      <c r="V34" s="15"/>
    </row>
    <row r="35" spans="1:22">
      <c r="D35" s="14"/>
      <c r="E35" s="14"/>
      <c r="F35" s="14"/>
      <c r="G35" s="14"/>
      <c r="H35" s="14"/>
      <c r="I35" s="14"/>
      <c r="J35" s="16"/>
      <c r="K35" s="14"/>
      <c r="L35" s="13"/>
      <c r="M35" s="3" t="s">
        <v>118</v>
      </c>
      <c r="N35" s="4"/>
      <c r="O35" s="4"/>
      <c r="P35" s="4"/>
      <c r="Q35" s="4"/>
      <c r="R35" s="4"/>
      <c r="S35" s="4"/>
      <c r="T35" s="9"/>
      <c r="U35" s="14"/>
      <c r="V35" s="15"/>
    </row>
    <row r="36" spans="1:22">
      <c r="D36" s="14"/>
      <c r="E36" s="14"/>
      <c r="F36" s="14"/>
      <c r="G36" s="14"/>
      <c r="H36" s="14"/>
      <c r="I36" s="14"/>
      <c r="J36" s="16"/>
      <c r="K36" s="14"/>
      <c r="L36" s="13"/>
      <c r="M36" s="47">
        <f t="array" ref="M36:R36" xml:space="preserve"> GetArrayForFormula(GetUniqueItems(RangeToArray($M$25:$U$25)))</f>
        <v>1</v>
      </c>
      <c r="N36" s="48">
        <v>2</v>
      </c>
      <c r="O36" s="48" t="str">
        <v>a</v>
      </c>
      <c r="P36" s="48" t="str">
        <v>b</v>
      </c>
      <c r="Q36" s="48" t="str">
        <v>c</v>
      </c>
      <c r="R36" s="49" t="str">
        <v>x</v>
      </c>
      <c r="S36" s="14"/>
      <c r="T36" s="16"/>
      <c r="U36" s="14"/>
      <c r="V36" s="15"/>
    </row>
    <row r="37" spans="1:22" ht="15.75" thickBot="1">
      <c r="D37" s="14"/>
      <c r="E37" s="14"/>
      <c r="F37" s="14"/>
      <c r="G37" s="14"/>
      <c r="H37" s="14"/>
      <c r="I37" s="14"/>
      <c r="J37" s="16"/>
      <c r="K37" s="14"/>
      <c r="L37" s="17"/>
      <c r="M37" s="18"/>
      <c r="N37" s="18"/>
      <c r="O37" s="18"/>
      <c r="P37" s="18"/>
      <c r="Q37" s="18"/>
      <c r="R37" s="18"/>
      <c r="S37" s="18"/>
      <c r="T37" s="18"/>
      <c r="U37" s="18"/>
      <c r="V37" s="19"/>
    </row>
    <row r="38" spans="1:22">
      <c r="D38" s="14"/>
      <c r="E38" s="14"/>
      <c r="F38" s="14"/>
      <c r="G38" s="14"/>
      <c r="H38" s="14"/>
      <c r="I38" s="14"/>
      <c r="J38" s="16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</row>
    <row r="39" spans="1:22">
      <c r="D39" s="14"/>
      <c r="E39" s="14" t="s">
        <v>143</v>
      </c>
      <c r="F39" s="14" t="s">
        <v>144</v>
      </c>
      <c r="G39" s="14" t="s">
        <v>145</v>
      </c>
      <c r="H39" s="14" t="s">
        <v>146</v>
      </c>
      <c r="I39" s="14" t="s">
        <v>146</v>
      </c>
      <c r="J39" s="2" t="str">
        <f xml:space="preserve"> IF(H39 = I39, "PASS", "FAIL")</f>
        <v>PASS</v>
      </c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</row>
    <row r="40" spans="1:22">
      <c r="D40" s="14"/>
      <c r="E40" s="14" t="s">
        <v>143</v>
      </c>
      <c r="F40" s="14" t="s">
        <v>157</v>
      </c>
      <c r="G40" s="14" t="s">
        <v>158</v>
      </c>
      <c r="H40" s="14" t="s">
        <v>187</v>
      </c>
      <c r="I40" s="14" t="s">
        <v>187</v>
      </c>
      <c r="J40" s="2" t="str">
        <f xml:space="preserve"> IF(H40 = I40, "PASS", "FAIL")</f>
        <v>PASS</v>
      </c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</row>
    <row r="41" spans="1:22">
      <c r="D41" s="14"/>
      <c r="E41" s="14"/>
      <c r="F41" s="14"/>
      <c r="G41" s="14"/>
      <c r="H41" s="14"/>
      <c r="I41" s="14"/>
      <c r="J41" s="16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</row>
    <row r="42" spans="1:22">
      <c r="A42" t="s">
        <v>9</v>
      </c>
      <c r="B42" t="b">
        <f xml:space="preserve"> NOT(ISNA(MATCH(A42, TblCoverage[Function], 0)))</f>
        <v>1</v>
      </c>
      <c r="C42" t="s">
        <v>52</v>
      </c>
      <c r="D42" s="14"/>
      <c r="E42" s="14" t="s">
        <v>9</v>
      </c>
      <c r="F42" s="14" t="s">
        <v>69</v>
      </c>
      <c r="G42" s="41" t="s">
        <v>106</v>
      </c>
      <c r="H42" s="14" t="b">
        <v>1</v>
      </c>
      <c r="I42" s="14" t="b">
        <v>1</v>
      </c>
      <c r="J42" s="2" t="str">
        <f t="shared" ref="J42:J51" si="0" xml:space="preserve"> IF(H42 = I42, "PASS", "FAIL")</f>
        <v>PASS</v>
      </c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</row>
    <row r="43" spans="1:22">
      <c r="D43" s="14"/>
      <c r="E43" s="14" t="s">
        <v>9</v>
      </c>
      <c r="F43" s="14" t="s">
        <v>70</v>
      </c>
      <c r="G43" s="41" t="s">
        <v>107</v>
      </c>
      <c r="H43" s="14" t="b">
        <v>1</v>
      </c>
      <c r="I43" s="14" t="b">
        <v>1</v>
      </c>
      <c r="J43" s="2" t="str">
        <f t="shared" si="0"/>
        <v>PASS</v>
      </c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</row>
    <row r="44" spans="1:22">
      <c r="D44" s="14"/>
      <c r="E44" s="14" t="s">
        <v>9</v>
      </c>
      <c r="F44" s="14" t="s">
        <v>83</v>
      </c>
      <c r="G44" s="41" t="s">
        <v>108</v>
      </c>
      <c r="H44" s="14" t="b">
        <v>0</v>
      </c>
      <c r="I44" s="14" t="b">
        <v>0</v>
      </c>
      <c r="J44" s="2" t="str">
        <f t="shared" si="0"/>
        <v>PASS</v>
      </c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</row>
    <row r="45" spans="1:22">
      <c r="D45" s="14"/>
      <c r="E45" s="14" t="s">
        <v>9</v>
      </c>
      <c r="F45" s="33" t="s">
        <v>71</v>
      </c>
      <c r="G45" s="41" t="s">
        <v>109</v>
      </c>
      <c r="H45" s="14" t="b">
        <v>0</v>
      </c>
      <c r="I45" s="33" t="b">
        <v>0</v>
      </c>
      <c r="J45" s="2" t="str">
        <f t="shared" si="0"/>
        <v>PASS</v>
      </c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</row>
    <row r="46" spans="1:22">
      <c r="D46" s="14"/>
      <c r="E46" s="14" t="s">
        <v>9</v>
      </c>
      <c r="F46" s="33" t="s">
        <v>79</v>
      </c>
      <c r="G46" s="41" t="s">
        <v>113</v>
      </c>
      <c r="H46" s="14" t="b">
        <v>0</v>
      </c>
      <c r="I46" s="33" t="b">
        <v>0</v>
      </c>
      <c r="J46" s="2" t="str">
        <f t="shared" si="0"/>
        <v>PASS</v>
      </c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</row>
    <row r="47" spans="1:22">
      <c r="D47" s="14"/>
      <c r="E47" s="14"/>
      <c r="F47" s="14"/>
      <c r="G47" s="14"/>
      <c r="H47" s="14"/>
      <c r="I47" s="14"/>
      <c r="J47" s="16"/>
    </row>
    <row r="48" spans="1:22">
      <c r="A48" t="s">
        <v>219</v>
      </c>
      <c r="B48" t="b">
        <f xml:space="preserve"> NOT(ISNA(MATCH(A48, TblCoverage[Function], 0)))</f>
        <v>1</v>
      </c>
      <c r="C48" t="s">
        <v>52</v>
      </c>
      <c r="D48" s="14"/>
      <c r="E48" s="33" t="s">
        <v>219</v>
      </c>
      <c r="F48" s="33" t="s">
        <v>256</v>
      </c>
      <c r="G48" s="50" t="s">
        <v>260</v>
      </c>
      <c r="H48" s="14" t="b">
        <v>1</v>
      </c>
      <c r="I48" s="33" t="b">
        <v>1</v>
      </c>
      <c r="J48" s="16" t="str">
        <f t="shared" si="0"/>
        <v>PASS</v>
      </c>
    </row>
    <row r="49" spans="1:10">
      <c r="D49" s="14"/>
      <c r="E49" s="33" t="s">
        <v>219</v>
      </c>
      <c r="F49" s="33" t="s">
        <v>257</v>
      </c>
      <c r="G49" s="50" t="s">
        <v>261</v>
      </c>
      <c r="H49" s="14" t="b">
        <v>1</v>
      </c>
      <c r="I49" s="14" t="b">
        <v>1</v>
      </c>
      <c r="J49" s="16" t="str">
        <f t="shared" si="0"/>
        <v>PASS</v>
      </c>
    </row>
    <row r="50" spans="1:10">
      <c r="D50" s="14"/>
      <c r="E50" s="33" t="s">
        <v>219</v>
      </c>
      <c r="F50" s="33" t="s">
        <v>258</v>
      </c>
      <c r="G50" s="50" t="s">
        <v>262</v>
      </c>
      <c r="H50" s="14" t="b">
        <v>0</v>
      </c>
      <c r="I50" s="14" t="b">
        <v>0</v>
      </c>
      <c r="J50" s="16" t="str">
        <f t="shared" si="0"/>
        <v>PASS</v>
      </c>
    </row>
    <row r="51" spans="1:10">
      <c r="D51" s="14"/>
      <c r="E51" s="33" t="s">
        <v>219</v>
      </c>
      <c r="F51" s="33" t="s">
        <v>259</v>
      </c>
      <c r="G51" s="50" t="s">
        <v>263</v>
      </c>
      <c r="H51" s="14" t="b">
        <v>0</v>
      </c>
      <c r="I51" s="14" t="b">
        <v>0</v>
      </c>
      <c r="J51" s="16" t="str">
        <f t="shared" si="0"/>
        <v>PASS</v>
      </c>
    </row>
    <row r="52" spans="1:10">
      <c r="D52" s="14"/>
      <c r="E52" s="14"/>
      <c r="F52" s="14"/>
      <c r="G52" s="14"/>
      <c r="H52" s="14"/>
      <c r="I52" s="14"/>
      <c r="J52" s="16"/>
    </row>
    <row r="53" spans="1:10">
      <c r="A53" t="s">
        <v>8</v>
      </c>
      <c r="B53" t="b">
        <f xml:space="preserve"> NOT(ISNA(MATCH(A53, TblCoverage[Function], 0)))</f>
        <v>1</v>
      </c>
      <c r="C53" t="s">
        <v>52</v>
      </c>
      <c r="D53" s="14"/>
      <c r="E53" s="33" t="s">
        <v>8</v>
      </c>
      <c r="F53" s="33" t="s">
        <v>80</v>
      </c>
      <c r="G53" s="41" t="s">
        <v>110</v>
      </c>
      <c r="H53" s="14" t="b">
        <v>1</v>
      </c>
      <c r="I53" s="33" t="b">
        <v>1</v>
      </c>
      <c r="J53" s="2" t="str">
        <f xml:space="preserve"> IF(H53 = I53, "PASS", "FAIL")</f>
        <v>PASS</v>
      </c>
    </row>
    <row r="54" spans="1:10">
      <c r="D54" s="14"/>
      <c r="E54" s="33" t="s">
        <v>8</v>
      </c>
      <c r="F54" s="33" t="s">
        <v>81</v>
      </c>
      <c r="G54" s="40" t="s">
        <v>111</v>
      </c>
      <c r="H54" t="b">
        <v>0</v>
      </c>
      <c r="I54" s="33" t="b">
        <v>0</v>
      </c>
      <c r="J54" s="2" t="str">
        <f xml:space="preserve"> IF(H54 = I54, "PASS", "FAIL")</f>
        <v>PASS</v>
      </c>
    </row>
    <row r="55" spans="1:10">
      <c r="E55" s="33" t="s">
        <v>8</v>
      </c>
      <c r="F55" s="33" t="s">
        <v>82</v>
      </c>
      <c r="G55" s="40" t="s">
        <v>112</v>
      </c>
      <c r="H55" t="b">
        <v>0</v>
      </c>
      <c r="I55" s="33" t="b">
        <v>0</v>
      </c>
      <c r="J55" s="2" t="str">
        <f xml:space="preserve"> IF(H55 = I55, "PASS", "FAIL")</f>
        <v>PASS</v>
      </c>
    </row>
    <row r="57" spans="1:10">
      <c r="A57" t="s">
        <v>101</v>
      </c>
      <c r="B57" t="b">
        <f xml:space="preserve"> NOT(ISNA(MATCH(A57, TblCoverage[Function], 0)))</f>
        <v>1</v>
      </c>
      <c r="C57" t="s">
        <v>52</v>
      </c>
      <c r="E57" t="s">
        <v>101</v>
      </c>
      <c r="F57" t="s">
        <v>102</v>
      </c>
      <c r="G57" s="40" t="s">
        <v>227</v>
      </c>
      <c r="H57">
        <v>1</v>
      </c>
      <c r="I57">
        <v>1</v>
      </c>
      <c r="J57" s="2" t="str">
        <f xml:space="preserve"> IF(H57 = I57, "PASS", "FAIL")</f>
        <v>PASS</v>
      </c>
    </row>
    <row r="58" spans="1:10">
      <c r="A58" t="s">
        <v>51</v>
      </c>
      <c r="B58" t="b">
        <f xml:space="preserve"> NOT(ISNA(MATCH(A58, TblCoverage[Function], 0)))</f>
        <v>1</v>
      </c>
      <c r="C58" t="s">
        <v>52</v>
      </c>
      <c r="E58" t="s">
        <v>101</v>
      </c>
      <c r="F58" t="s">
        <v>103</v>
      </c>
      <c r="G58" s="40" t="s">
        <v>228</v>
      </c>
      <c r="H58">
        <v>2</v>
      </c>
      <c r="I58">
        <v>2</v>
      </c>
      <c r="J58" s="2" t="str">
        <f xml:space="preserve"> IF(H58 = I58, "PASS", "FAIL")</f>
        <v>PASS</v>
      </c>
    </row>
    <row r="59" spans="1:10">
      <c r="E59" t="s">
        <v>101</v>
      </c>
      <c r="F59" t="s">
        <v>104</v>
      </c>
      <c r="G59" s="40" t="s">
        <v>229</v>
      </c>
      <c r="H59">
        <v>1</v>
      </c>
      <c r="I59">
        <v>1</v>
      </c>
      <c r="J59" s="2" t="str">
        <f xml:space="preserve"> IF(H59 = I59, "PASS", "FAIL")</f>
        <v>PASS</v>
      </c>
    </row>
    <row r="60" spans="1:10">
      <c r="E60" t="s">
        <v>101</v>
      </c>
      <c r="F60" t="s">
        <v>105</v>
      </c>
      <c r="G60" s="40" t="s">
        <v>230</v>
      </c>
      <c r="H60">
        <v>2</v>
      </c>
      <c r="I60">
        <v>2</v>
      </c>
      <c r="J60" s="2" t="str">
        <f xml:space="preserve"> IF(H60 = I60, "PASS", "FAIL")</f>
        <v>PASS</v>
      </c>
    </row>
    <row r="62" spans="1:10">
      <c r="A62" t="s">
        <v>85</v>
      </c>
      <c r="B62" t="b">
        <f xml:space="preserve"> NOT(ISNA(MATCH(A62, TblCoverage[Function], 0)))</f>
        <v>1</v>
      </c>
      <c r="C62" t="s">
        <v>52</v>
      </c>
      <c r="E62" t="s">
        <v>124</v>
      </c>
      <c r="F62" t="s">
        <v>126</v>
      </c>
      <c r="G62" t="s">
        <v>128</v>
      </c>
      <c r="H62" t="s">
        <v>125</v>
      </c>
      <c r="I62" t="s">
        <v>125</v>
      </c>
      <c r="J62" s="2" t="str">
        <f t="shared" ref="J62:J98" si="1" xml:space="preserve"> IF(H62 = I62, "PASS", "FAIL")</f>
        <v>PASS</v>
      </c>
    </row>
    <row r="63" spans="1:10">
      <c r="A63" t="s">
        <v>86</v>
      </c>
      <c r="B63" t="b">
        <f xml:space="preserve"> NOT(ISNA(MATCH(A63, TblCoverage[Function], 0)))</f>
        <v>1</v>
      </c>
      <c r="C63" t="s">
        <v>52</v>
      </c>
      <c r="E63" t="s">
        <v>124</v>
      </c>
      <c r="F63" t="s">
        <v>127</v>
      </c>
      <c r="G63" t="s">
        <v>129</v>
      </c>
      <c r="H63" t="s">
        <v>125</v>
      </c>
      <c r="I63" t="s">
        <v>125</v>
      </c>
      <c r="J63" s="2" t="str">
        <f t="shared" si="1"/>
        <v>PASS</v>
      </c>
    </row>
    <row r="64" spans="1:10">
      <c r="A64" t="s">
        <v>87</v>
      </c>
      <c r="B64" t="b">
        <f xml:space="preserve"> NOT(ISNA(MATCH(A64, TblCoverage[Function], 0)))</f>
        <v>1</v>
      </c>
      <c r="C64" t="s">
        <v>52</v>
      </c>
      <c r="E64" t="s">
        <v>124</v>
      </c>
      <c r="F64" t="s">
        <v>131</v>
      </c>
      <c r="G64" t="s">
        <v>132</v>
      </c>
      <c r="H64" t="s">
        <v>125</v>
      </c>
      <c r="I64" t="s">
        <v>125</v>
      </c>
      <c r="J64" s="2" t="str">
        <f t="shared" si="1"/>
        <v>PASS</v>
      </c>
    </row>
    <row r="65" spans="1:10">
      <c r="E65" t="s">
        <v>124</v>
      </c>
      <c r="F65" t="s">
        <v>133</v>
      </c>
      <c r="G65" t="s">
        <v>134</v>
      </c>
      <c r="H65" t="s">
        <v>125</v>
      </c>
      <c r="I65" t="s">
        <v>125</v>
      </c>
      <c r="J65" s="2" t="str">
        <f t="shared" si="1"/>
        <v>PASS</v>
      </c>
    </row>
    <row r="66" spans="1:10">
      <c r="E66" t="s">
        <v>124</v>
      </c>
      <c r="F66" t="s">
        <v>135</v>
      </c>
      <c r="G66" t="s">
        <v>139</v>
      </c>
      <c r="H66" t="s">
        <v>147</v>
      </c>
      <c r="I66" t="s">
        <v>147</v>
      </c>
      <c r="J66" s="2" t="str">
        <f t="shared" si="1"/>
        <v>PASS</v>
      </c>
    </row>
    <row r="67" spans="1:10">
      <c r="E67" t="s">
        <v>124</v>
      </c>
      <c r="F67" t="s">
        <v>136</v>
      </c>
      <c r="G67" t="s">
        <v>140</v>
      </c>
      <c r="H67" t="s">
        <v>147</v>
      </c>
      <c r="I67" t="s">
        <v>147</v>
      </c>
      <c r="J67" s="2" t="str">
        <f t="shared" si="1"/>
        <v>PASS</v>
      </c>
    </row>
    <row r="68" spans="1:10">
      <c r="E68" t="s">
        <v>124</v>
      </c>
      <c r="F68" t="s">
        <v>137</v>
      </c>
      <c r="G68" t="s">
        <v>141</v>
      </c>
      <c r="H68" t="s">
        <v>125</v>
      </c>
      <c r="I68" t="s">
        <v>125</v>
      </c>
      <c r="J68" s="2" t="str">
        <f t="shared" si="1"/>
        <v>PASS</v>
      </c>
    </row>
    <row r="69" spans="1:10">
      <c r="E69" t="s">
        <v>124</v>
      </c>
      <c r="F69" t="s">
        <v>138</v>
      </c>
      <c r="G69" t="s">
        <v>142</v>
      </c>
      <c r="H69" t="s">
        <v>147</v>
      </c>
      <c r="I69" t="s">
        <v>147</v>
      </c>
      <c r="J69" s="2" t="str">
        <f t="shared" si="1"/>
        <v>PASS</v>
      </c>
    </row>
    <row r="71" spans="1:10">
      <c r="A71" t="s">
        <v>88</v>
      </c>
      <c r="B71" t="b">
        <f xml:space="preserve"> NOT(ISNA(MATCH(A71, TblCoverage[Function], 0)))</f>
        <v>1</v>
      </c>
      <c r="C71" t="s">
        <v>52</v>
      </c>
      <c r="E71" t="s">
        <v>150</v>
      </c>
      <c r="F71" t="s">
        <v>152</v>
      </c>
      <c r="G71" s="40" t="s">
        <v>155</v>
      </c>
      <c r="H71" t="s">
        <v>153</v>
      </c>
      <c r="I71" t="s">
        <v>153</v>
      </c>
      <c r="J71" s="2" t="str">
        <f t="shared" si="1"/>
        <v>PASS</v>
      </c>
    </row>
    <row r="72" spans="1:10">
      <c r="E72" t="s">
        <v>150</v>
      </c>
      <c r="F72" t="s">
        <v>151</v>
      </c>
      <c r="G72" s="40" t="s">
        <v>156</v>
      </c>
      <c r="H72" t="s">
        <v>154</v>
      </c>
      <c r="I72" t="s">
        <v>154</v>
      </c>
      <c r="J72" s="2" t="str">
        <f t="shared" si="1"/>
        <v>PASS</v>
      </c>
    </row>
    <row r="74" spans="1:10">
      <c r="A74" t="s">
        <v>10</v>
      </c>
      <c r="B74" t="b">
        <f xml:space="preserve"> NOT(ISNA(MATCH(A74, TblCoverage[Function], 0)))</f>
        <v>1</v>
      </c>
      <c r="C74" t="s">
        <v>52</v>
      </c>
      <c r="E74" t="s">
        <v>10</v>
      </c>
      <c r="F74" t="s">
        <v>173</v>
      </c>
      <c r="G74" s="40" t="s">
        <v>159</v>
      </c>
      <c r="H74" t="s">
        <v>166</v>
      </c>
      <c r="I74" t="s">
        <v>166</v>
      </c>
      <c r="J74" s="2" t="str">
        <f t="shared" si="1"/>
        <v>PASS</v>
      </c>
    </row>
    <row r="75" spans="1:10">
      <c r="A75" t="s">
        <v>11</v>
      </c>
      <c r="B75" t="b">
        <f xml:space="preserve"> NOT(ISNA(MATCH(A75, TblCoverage[Function], 0)))</f>
        <v>1</v>
      </c>
      <c r="C75" t="s">
        <v>52</v>
      </c>
      <c r="E75" t="s">
        <v>10</v>
      </c>
      <c r="F75" t="s">
        <v>174</v>
      </c>
      <c r="G75" s="40" t="s">
        <v>160</v>
      </c>
      <c r="H75" t="s">
        <v>167</v>
      </c>
      <c r="I75" t="s">
        <v>167</v>
      </c>
      <c r="J75" s="2" t="str">
        <f t="shared" si="1"/>
        <v>PASS</v>
      </c>
    </row>
    <row r="76" spans="1:10">
      <c r="E76" t="s">
        <v>10</v>
      </c>
      <c r="F76" t="s">
        <v>175</v>
      </c>
      <c r="G76" s="40" t="s">
        <v>161</v>
      </c>
      <c r="H76" t="s">
        <v>168</v>
      </c>
      <c r="I76" t="s">
        <v>168</v>
      </c>
      <c r="J76" s="2" t="str">
        <f t="shared" si="1"/>
        <v>PASS</v>
      </c>
    </row>
    <row r="77" spans="1:10">
      <c r="E77" t="s">
        <v>10</v>
      </c>
      <c r="F77" t="s">
        <v>176</v>
      </c>
      <c r="G77" s="40" t="s">
        <v>162</v>
      </c>
      <c r="H77" t="s">
        <v>169</v>
      </c>
      <c r="I77" t="s">
        <v>169</v>
      </c>
      <c r="J77" s="2" t="str">
        <f t="shared" si="1"/>
        <v>PASS</v>
      </c>
    </row>
    <row r="78" spans="1:10">
      <c r="E78" t="s">
        <v>10</v>
      </c>
      <c r="F78" t="s">
        <v>177</v>
      </c>
      <c r="G78" s="40" t="s">
        <v>163</v>
      </c>
      <c r="H78" t="s">
        <v>170</v>
      </c>
      <c r="I78" t="s">
        <v>170</v>
      </c>
      <c r="J78" s="2" t="str">
        <f t="shared" si="1"/>
        <v>PASS</v>
      </c>
    </row>
    <row r="79" spans="1:10">
      <c r="E79" t="s">
        <v>10</v>
      </c>
      <c r="F79" t="s">
        <v>178</v>
      </c>
      <c r="G79" s="40" t="s">
        <v>164</v>
      </c>
      <c r="H79" t="s">
        <v>171</v>
      </c>
      <c r="I79" t="s">
        <v>171</v>
      </c>
      <c r="J79" s="2" t="str">
        <f t="shared" si="1"/>
        <v>PASS</v>
      </c>
    </row>
    <row r="80" spans="1:10">
      <c r="E80" t="s">
        <v>10</v>
      </c>
      <c r="F80" t="s">
        <v>179</v>
      </c>
      <c r="G80" s="40" t="s">
        <v>165</v>
      </c>
      <c r="H80" t="s">
        <v>172</v>
      </c>
      <c r="I80" t="s">
        <v>172</v>
      </c>
      <c r="J80" s="2" t="str">
        <f t="shared" si="1"/>
        <v>PASS</v>
      </c>
    </row>
    <row r="81" spans="1:10">
      <c r="E81" t="s">
        <v>10</v>
      </c>
      <c r="F81" t="s">
        <v>180</v>
      </c>
      <c r="G81" s="40" t="s">
        <v>188</v>
      </c>
      <c r="H81">
        <v>1</v>
      </c>
      <c r="I81">
        <v>1</v>
      </c>
      <c r="J81" s="2" t="str">
        <f t="shared" si="1"/>
        <v>PASS</v>
      </c>
    </row>
    <row r="82" spans="1:10">
      <c r="E82" t="s">
        <v>10</v>
      </c>
      <c r="F82" t="s">
        <v>181</v>
      </c>
      <c r="G82" s="40" t="s">
        <v>189</v>
      </c>
      <c r="H82">
        <v>26</v>
      </c>
      <c r="I82">
        <v>26</v>
      </c>
      <c r="J82" s="2" t="str">
        <f t="shared" si="1"/>
        <v>PASS</v>
      </c>
    </row>
    <row r="83" spans="1:10">
      <c r="E83" t="s">
        <v>10</v>
      </c>
      <c r="F83" t="s">
        <v>182</v>
      </c>
      <c r="G83" s="40" t="s">
        <v>190</v>
      </c>
      <c r="H83">
        <v>27</v>
      </c>
      <c r="I83">
        <v>27</v>
      </c>
      <c r="J83" s="2" t="str">
        <f t="shared" si="1"/>
        <v>PASS</v>
      </c>
    </row>
    <row r="84" spans="1:10">
      <c r="E84" t="s">
        <v>10</v>
      </c>
      <c r="F84" t="s">
        <v>183</v>
      </c>
      <c r="G84" s="40" t="s">
        <v>191</v>
      </c>
      <c r="H84">
        <v>256</v>
      </c>
      <c r="I84">
        <v>256</v>
      </c>
      <c r="J84" s="2" t="str">
        <f t="shared" si="1"/>
        <v>PASS</v>
      </c>
    </row>
    <row r="85" spans="1:10">
      <c r="E85" t="s">
        <v>10</v>
      </c>
      <c r="F85" t="s">
        <v>184</v>
      </c>
      <c r="G85" s="40" t="s">
        <v>192</v>
      </c>
      <c r="H85">
        <v>16380</v>
      </c>
      <c r="I85">
        <v>16380</v>
      </c>
      <c r="J85" s="2" t="str">
        <f t="shared" si="1"/>
        <v>PASS</v>
      </c>
    </row>
    <row r="86" spans="1:10">
      <c r="E86" t="s">
        <v>10</v>
      </c>
      <c r="F86" t="s">
        <v>185</v>
      </c>
      <c r="G86" s="40" t="s">
        <v>193</v>
      </c>
      <c r="H86">
        <v>16381</v>
      </c>
      <c r="I86">
        <v>16381</v>
      </c>
      <c r="J86" s="2" t="str">
        <f t="shared" si="1"/>
        <v>PASS</v>
      </c>
    </row>
    <row r="87" spans="1:10">
      <c r="E87" t="s">
        <v>10</v>
      </c>
      <c r="F87" t="s">
        <v>186</v>
      </c>
      <c r="G87" s="40" t="s">
        <v>194</v>
      </c>
      <c r="H87">
        <v>16384</v>
      </c>
      <c r="I87">
        <v>16384</v>
      </c>
      <c r="J87" s="2" t="str">
        <f t="shared" si="1"/>
        <v>PASS</v>
      </c>
    </row>
    <row r="89" spans="1:10">
      <c r="A89" t="s">
        <v>12</v>
      </c>
      <c r="B89" t="b">
        <f xml:space="preserve"> NOT(ISNA(MATCH(A89, TblCoverage[Function], 0)))</f>
        <v>1</v>
      </c>
      <c r="C89" t="s">
        <v>52</v>
      </c>
      <c r="E89" t="s">
        <v>12</v>
      </c>
      <c r="F89" t="s">
        <v>195</v>
      </c>
      <c r="G89" s="40" t="s">
        <v>203</v>
      </c>
      <c r="H89" t="s">
        <v>211</v>
      </c>
      <c r="I89" t="s">
        <v>211</v>
      </c>
      <c r="J89" s="2" t="str">
        <f t="shared" si="1"/>
        <v>PASS</v>
      </c>
    </row>
    <row r="90" spans="1:10">
      <c r="E90" t="s">
        <v>12</v>
      </c>
      <c r="F90" t="s">
        <v>196</v>
      </c>
      <c r="G90" s="40" t="s">
        <v>204</v>
      </c>
      <c r="H90" t="s">
        <v>212</v>
      </c>
      <c r="I90" t="s">
        <v>212</v>
      </c>
      <c r="J90" s="2" t="str">
        <f t="shared" si="1"/>
        <v>PASS</v>
      </c>
    </row>
    <row r="91" spans="1:10">
      <c r="E91" t="s">
        <v>12</v>
      </c>
      <c r="F91" t="s">
        <v>197</v>
      </c>
      <c r="G91" s="40" t="s">
        <v>205</v>
      </c>
      <c r="H91" t="s">
        <v>213</v>
      </c>
      <c r="I91" t="s">
        <v>213</v>
      </c>
      <c r="J91" s="2" t="str">
        <f t="shared" si="1"/>
        <v>PASS</v>
      </c>
    </row>
    <row r="92" spans="1:10">
      <c r="E92" t="s">
        <v>12</v>
      </c>
      <c r="F92" t="s">
        <v>198</v>
      </c>
      <c r="G92" s="40" t="s">
        <v>206</v>
      </c>
      <c r="H92" t="s">
        <v>214</v>
      </c>
      <c r="I92" t="s">
        <v>214</v>
      </c>
      <c r="J92" s="2" t="str">
        <f t="shared" si="1"/>
        <v>PASS</v>
      </c>
    </row>
    <row r="93" spans="1:10">
      <c r="E93" t="s">
        <v>12</v>
      </c>
      <c r="F93" t="s">
        <v>199</v>
      </c>
      <c r="G93" s="40" t="s">
        <v>207</v>
      </c>
      <c r="H93" t="s">
        <v>215</v>
      </c>
      <c r="I93" t="s">
        <v>215</v>
      </c>
      <c r="J93" s="2" t="str">
        <f t="shared" si="1"/>
        <v>PASS</v>
      </c>
    </row>
    <row r="94" spans="1:10">
      <c r="E94" t="s">
        <v>12</v>
      </c>
      <c r="F94" t="s">
        <v>200</v>
      </c>
      <c r="G94" s="40" t="s">
        <v>208</v>
      </c>
      <c r="H94" s="40" t="s">
        <v>216</v>
      </c>
      <c r="I94" s="40" t="s">
        <v>216</v>
      </c>
      <c r="J94" s="2" t="str">
        <f t="shared" si="1"/>
        <v>PASS</v>
      </c>
    </row>
    <row r="95" spans="1:10">
      <c r="E95" t="s">
        <v>12</v>
      </c>
      <c r="F95" t="s">
        <v>201</v>
      </c>
      <c r="G95" s="40" t="s">
        <v>209</v>
      </c>
      <c r="H95" s="40" t="s">
        <v>217</v>
      </c>
      <c r="I95" s="40" t="s">
        <v>217</v>
      </c>
      <c r="J95" s="2" t="str">
        <f t="shared" si="1"/>
        <v>PASS</v>
      </c>
    </row>
    <row r="96" spans="1:10">
      <c r="E96" t="s">
        <v>12</v>
      </c>
      <c r="F96" t="s">
        <v>202</v>
      </c>
      <c r="G96" s="40" t="s">
        <v>210</v>
      </c>
      <c r="H96" s="40" t="s">
        <v>218</v>
      </c>
      <c r="I96" s="40" t="s">
        <v>218</v>
      </c>
      <c r="J96" s="2" t="str">
        <f t="shared" si="1"/>
        <v>PASS</v>
      </c>
    </row>
    <row r="98" spans="1:23">
      <c r="A98" t="s">
        <v>13</v>
      </c>
      <c r="B98" t="b">
        <f xml:space="preserve"> NOT(ISNA(MATCH(A98, TblCoverage[Function], 0)))</f>
        <v>1</v>
      </c>
      <c r="C98" t="s">
        <v>52</v>
      </c>
      <c r="E98" t="s">
        <v>13</v>
      </c>
      <c r="F98" t="s">
        <v>222</v>
      </c>
      <c r="G98" s="40" t="s">
        <v>242</v>
      </c>
      <c r="H98" t="s">
        <v>232</v>
      </c>
      <c r="I98" t="s">
        <v>232</v>
      </c>
      <c r="J98" s="2" t="str">
        <f t="shared" si="1"/>
        <v>PASS</v>
      </c>
      <c r="W98" t="e">
        <f xml:space="preserve"> 1 / 0</f>
        <v>#DIV/0!</v>
      </c>
    </row>
    <row r="99" spans="1:23">
      <c r="E99" t="s">
        <v>13</v>
      </c>
      <c r="F99" t="s">
        <v>233</v>
      </c>
      <c r="G99" s="40" t="s">
        <v>241</v>
      </c>
      <c r="H99" t="s">
        <v>240</v>
      </c>
      <c r="I99" t="s">
        <v>240</v>
      </c>
      <c r="J99" s="2" t="str">
        <f t="shared" ref="J99:J122" si="2" xml:space="preserve"> IF(H99 = I99, "PASS", "FAIL")</f>
        <v>PASS</v>
      </c>
      <c r="W99" t="e">
        <f xml:space="preserve"> NA()</f>
        <v>#N/A</v>
      </c>
    </row>
    <row r="100" spans="1:23">
      <c r="E100" t="s">
        <v>13</v>
      </c>
      <c r="F100" t="s">
        <v>234</v>
      </c>
      <c r="G100" s="40" t="s">
        <v>243</v>
      </c>
      <c r="H100" t="s">
        <v>245</v>
      </c>
      <c r="I100" t="s">
        <v>245</v>
      </c>
      <c r="J100" s="2" t="str">
        <f t="shared" si="2"/>
        <v>PASS</v>
      </c>
      <c r="W100" t="e">
        <f xml:space="preserve"> UnknownName</f>
        <v>#NAME?</v>
      </c>
    </row>
    <row r="101" spans="1:23">
      <c r="E101" t="s">
        <v>13</v>
      </c>
      <c r="F101" t="s">
        <v>235</v>
      </c>
      <c r="G101" s="40" t="s">
        <v>244</v>
      </c>
      <c r="H101" t="s">
        <v>246</v>
      </c>
      <c r="I101" t="s">
        <v>246</v>
      </c>
      <c r="J101" s="2" t="str">
        <f t="shared" si="2"/>
        <v>PASS</v>
      </c>
      <c r="W101" t="e">
        <f xml:space="preserve"> W98 W99</f>
        <v>#NULL!</v>
      </c>
    </row>
    <row r="102" spans="1:23">
      <c r="E102" t="s">
        <v>13</v>
      </c>
      <c r="F102" t="s">
        <v>236</v>
      </c>
      <c r="G102" s="40" t="s">
        <v>264</v>
      </c>
      <c r="H102" t="s">
        <v>248</v>
      </c>
      <c r="I102" t="s">
        <v>248</v>
      </c>
      <c r="J102" s="2" t="str">
        <f t="shared" si="2"/>
        <v>PASS</v>
      </c>
      <c r="W102" t="e">
        <f xml:space="preserve"> 1E+99 ^ 1E+99</f>
        <v>#NUM!</v>
      </c>
    </row>
    <row r="103" spans="1:23">
      <c r="E103" t="s">
        <v>13</v>
      </c>
      <c r="F103" t="s">
        <v>237</v>
      </c>
      <c r="G103" s="40" t="s">
        <v>265</v>
      </c>
      <c r="H103" t="s">
        <v>247</v>
      </c>
      <c r="I103" t="s">
        <v>247</v>
      </c>
      <c r="J103" s="2" t="str">
        <f t="shared" si="2"/>
        <v>PASS</v>
      </c>
      <c r="W103" t="e">
        <f xml:space="preserve"> 2 +#REF!</f>
        <v>#REF!</v>
      </c>
    </row>
    <row r="104" spans="1:23">
      <c r="E104" t="s">
        <v>13</v>
      </c>
      <c r="F104" t="s">
        <v>221</v>
      </c>
      <c r="G104" s="40" t="s">
        <v>266</v>
      </c>
      <c r="H104" t="s">
        <v>249</v>
      </c>
      <c r="I104" t="s">
        <v>249</v>
      </c>
      <c r="J104" s="2" t="str">
        <f t="shared" si="2"/>
        <v>PASS</v>
      </c>
      <c r="W104" t="e">
        <f xml:space="preserve"> 2 + "abc"</f>
        <v>#VALUE!</v>
      </c>
    </row>
    <row r="105" spans="1:23">
      <c r="E105" t="s">
        <v>13</v>
      </c>
      <c r="F105" t="s">
        <v>238</v>
      </c>
      <c r="G105" s="40" t="s">
        <v>267</v>
      </c>
      <c r="H105" t="s">
        <v>239</v>
      </c>
      <c r="I105" t="s">
        <v>239</v>
      </c>
      <c r="J105" s="2" t="str">
        <f t="shared" si="2"/>
        <v>PASS</v>
      </c>
      <c r="W105">
        <f xml:space="preserve"> 2</f>
        <v>2</v>
      </c>
    </row>
    <row r="107" spans="1:23">
      <c r="A107" t="s">
        <v>14</v>
      </c>
      <c r="B107" t="b">
        <f xml:space="preserve"> NOT(ISNA(MATCH(A107, TblCoverage[Function], 0)))</f>
        <v>1</v>
      </c>
      <c r="C107" t="s">
        <v>52</v>
      </c>
      <c r="E107" t="s">
        <v>250</v>
      </c>
      <c r="F107" t="s">
        <v>14</v>
      </c>
      <c r="G107" t="s">
        <v>251</v>
      </c>
      <c r="H107" t="s">
        <v>254</v>
      </c>
      <c r="I107" t="s">
        <v>254</v>
      </c>
      <c r="J107" s="2" t="str">
        <f t="shared" si="2"/>
        <v>PASS</v>
      </c>
    </row>
    <row r="108" spans="1:23">
      <c r="A108" t="s">
        <v>89</v>
      </c>
      <c r="B108" t="b">
        <f xml:space="preserve"> NOT(ISNA(MATCH(A108, TblCoverage[Function], 0)))</f>
        <v>1</v>
      </c>
      <c r="C108" t="s">
        <v>52</v>
      </c>
      <c r="E108" t="s">
        <v>250</v>
      </c>
      <c r="F108" t="s">
        <v>89</v>
      </c>
      <c r="G108" t="s">
        <v>252</v>
      </c>
      <c r="H108" t="s">
        <v>255</v>
      </c>
      <c r="I108" t="s">
        <v>255</v>
      </c>
      <c r="J108" s="2" t="str">
        <f t="shared" si="2"/>
        <v>PASS</v>
      </c>
    </row>
    <row r="109" spans="1:23">
      <c r="A109" t="s">
        <v>90</v>
      </c>
      <c r="B109" t="b">
        <f xml:space="preserve"> NOT(ISNA(MATCH(A109, TblCoverage[Function], 0)))</f>
        <v>1</v>
      </c>
      <c r="C109" t="s">
        <v>52</v>
      </c>
      <c r="E109" t="s">
        <v>250</v>
      </c>
      <c r="F109" t="s">
        <v>90</v>
      </c>
      <c r="G109" t="s">
        <v>253</v>
      </c>
      <c r="H109" t="s">
        <v>125</v>
      </c>
      <c r="I109" t="s">
        <v>125</v>
      </c>
      <c r="J109" s="2" t="str">
        <f t="shared" si="2"/>
        <v>PASS</v>
      </c>
    </row>
    <row r="111" spans="1:23">
      <c r="A111" t="s">
        <v>100</v>
      </c>
      <c r="B111" t="b">
        <f xml:space="preserve"> NOT(ISNA(MATCH(A111, TblCoverage[Function], 0)))</f>
        <v>1</v>
      </c>
      <c r="C111" t="s">
        <v>52</v>
      </c>
      <c r="E111" t="s">
        <v>100</v>
      </c>
      <c r="F111" t="s">
        <v>269</v>
      </c>
      <c r="G111" s="40" t="s">
        <v>276</v>
      </c>
      <c r="H111" t="s">
        <v>286</v>
      </c>
      <c r="I111" t="s">
        <v>286</v>
      </c>
      <c r="J111" s="2" t="str">
        <f t="shared" si="2"/>
        <v>PASS</v>
      </c>
    </row>
    <row r="112" spans="1:23">
      <c r="E112" t="s">
        <v>100</v>
      </c>
      <c r="F112" t="s">
        <v>268</v>
      </c>
      <c r="G112" s="40" t="s">
        <v>280</v>
      </c>
      <c r="H112" t="s">
        <v>287</v>
      </c>
      <c r="I112" t="s">
        <v>287</v>
      </c>
      <c r="J112" s="2" t="str">
        <f t="shared" si="2"/>
        <v>PASS</v>
      </c>
    </row>
    <row r="113" spans="1:10">
      <c r="E113" t="s">
        <v>100</v>
      </c>
      <c r="F113" t="s">
        <v>270</v>
      </c>
      <c r="G113" s="40" t="s">
        <v>281</v>
      </c>
      <c r="H113" t="s">
        <v>288</v>
      </c>
      <c r="I113" t="s">
        <v>288</v>
      </c>
      <c r="J113" s="2" t="str">
        <f t="shared" si="2"/>
        <v>PASS</v>
      </c>
    </row>
    <row r="114" spans="1:10">
      <c r="E114" t="s">
        <v>100</v>
      </c>
      <c r="F114" t="s">
        <v>271</v>
      </c>
      <c r="G114" s="40" t="s">
        <v>282</v>
      </c>
      <c r="H114" t="s">
        <v>289</v>
      </c>
      <c r="I114" t="s">
        <v>289</v>
      </c>
      <c r="J114" s="2" t="str">
        <f t="shared" si="2"/>
        <v>PASS</v>
      </c>
    </row>
    <row r="115" spans="1:10">
      <c r="A115" t="s">
        <v>13</v>
      </c>
      <c r="B115" t="b">
        <f xml:space="preserve"> NOT(ISNA(MATCH(A115, TblCoverage[Function], 0)))</f>
        <v>1</v>
      </c>
      <c r="C115" t="s">
        <v>55</v>
      </c>
      <c r="E115" t="s">
        <v>100</v>
      </c>
      <c r="F115" t="s">
        <v>278</v>
      </c>
      <c r="G115" s="40" t="s">
        <v>290</v>
      </c>
      <c r="H115" t="s">
        <v>249</v>
      </c>
      <c r="I115" t="s">
        <v>249</v>
      </c>
      <c r="J115" s="2" t="str">
        <f t="shared" si="2"/>
        <v>PASS</v>
      </c>
    </row>
    <row r="116" spans="1:10">
      <c r="E116" t="s">
        <v>100</v>
      </c>
      <c r="F116" t="s">
        <v>279</v>
      </c>
      <c r="G116" s="40" t="s">
        <v>291</v>
      </c>
      <c r="H116" t="s">
        <v>249</v>
      </c>
      <c r="I116" t="s">
        <v>249</v>
      </c>
      <c r="J116" s="2" t="str">
        <f t="shared" si="2"/>
        <v>PASS</v>
      </c>
    </row>
    <row r="117" spans="1:10">
      <c r="E117" t="s">
        <v>100</v>
      </c>
      <c r="F117" t="s">
        <v>272</v>
      </c>
      <c r="G117" s="40" t="s">
        <v>277</v>
      </c>
      <c r="H117" t="s">
        <v>286</v>
      </c>
      <c r="I117" t="s">
        <v>286</v>
      </c>
      <c r="J117" s="2" t="str">
        <f t="shared" si="2"/>
        <v>PASS</v>
      </c>
    </row>
    <row r="118" spans="1:10">
      <c r="E118" t="s">
        <v>100</v>
      </c>
      <c r="F118" t="s">
        <v>273</v>
      </c>
      <c r="G118" s="40" t="s">
        <v>283</v>
      </c>
      <c r="H118" t="s">
        <v>286</v>
      </c>
      <c r="I118" t="s">
        <v>286</v>
      </c>
      <c r="J118" s="2" t="str">
        <f t="shared" si="2"/>
        <v>PASS</v>
      </c>
    </row>
    <row r="119" spans="1:10">
      <c r="E119" t="s">
        <v>100</v>
      </c>
      <c r="F119" t="s">
        <v>274</v>
      </c>
      <c r="G119" s="40" t="s">
        <v>284</v>
      </c>
      <c r="H119" t="s">
        <v>286</v>
      </c>
      <c r="I119" t="s">
        <v>286</v>
      </c>
      <c r="J119" s="2" t="str">
        <f t="shared" si="2"/>
        <v>PASS</v>
      </c>
    </row>
    <row r="120" spans="1:10">
      <c r="E120" t="s">
        <v>100</v>
      </c>
      <c r="F120" t="s">
        <v>275</v>
      </c>
      <c r="G120" s="40" t="s">
        <v>285</v>
      </c>
      <c r="H120" t="s">
        <v>286</v>
      </c>
      <c r="I120" t="s">
        <v>286</v>
      </c>
      <c r="J120" s="2" t="str">
        <f t="shared" si="2"/>
        <v>PASS</v>
      </c>
    </row>
    <row r="122" spans="1:10">
      <c r="A122" t="s">
        <v>292</v>
      </c>
      <c r="B122" t="b">
        <f xml:space="preserve"> NOT(ISNA(MATCH(A122, TblCoverage[Function], 0)))</f>
        <v>1</v>
      </c>
      <c r="C122" t="s">
        <v>52</v>
      </c>
      <c r="E122" t="s">
        <v>295</v>
      </c>
      <c r="F122" t="s">
        <v>305</v>
      </c>
      <c r="G122" t="s">
        <v>307</v>
      </c>
      <c r="H122">
        <v>1</v>
      </c>
      <c r="I122">
        <v>1</v>
      </c>
      <c r="J122" s="2" t="str">
        <f t="shared" si="2"/>
        <v>PASS</v>
      </c>
    </row>
    <row r="123" spans="1:10">
      <c r="A123" t="s">
        <v>293</v>
      </c>
      <c r="B123" t="b">
        <f xml:space="preserve"> NOT(ISNA(MATCH(A123, TblCoverage[Function], 0)))</f>
        <v>1</v>
      </c>
      <c r="C123" t="s">
        <v>52</v>
      </c>
      <c r="E123" t="s">
        <v>295</v>
      </c>
      <c r="F123" t="s">
        <v>306</v>
      </c>
      <c r="G123" t="s">
        <v>308</v>
      </c>
      <c r="H123" t="s">
        <v>309</v>
      </c>
      <c r="I123" t="str">
        <f xml:space="preserve"> CombinePaths(GetDirectoryName(GetWorkbookPath()), "dummy.xlsx")</f>
        <v>C:\Projects\_VBA\Library\dummy.xlsx</v>
      </c>
      <c r="J123" s="2" t="str">
        <f t="shared" ref="J123:J138" si="3" xml:space="preserve"> IF(H123 = I123, "PASS", "FAIL")</f>
        <v>PASS</v>
      </c>
    </row>
    <row r="124" spans="1:10">
      <c r="A124" t="s">
        <v>298</v>
      </c>
      <c r="B124" t="b">
        <f xml:space="preserve"> NOT(ISNA(MATCH(A124, TblCoverage[Function], 0)))</f>
        <v>1</v>
      </c>
      <c r="C124" t="s">
        <v>55</v>
      </c>
      <c r="E124" t="s">
        <v>295</v>
      </c>
      <c r="F124" t="s">
        <v>310</v>
      </c>
      <c r="G124" t="s">
        <v>311</v>
      </c>
      <c r="H124" t="s">
        <v>309</v>
      </c>
      <c r="I124" t="str">
        <f xml:space="preserve"> I123</f>
        <v>C:\Projects\_VBA\Library\dummy.xlsx</v>
      </c>
      <c r="J124" s="2" t="str">
        <f t="shared" si="3"/>
        <v>PASS</v>
      </c>
    </row>
    <row r="125" spans="1:10">
      <c r="A125" t="s">
        <v>296</v>
      </c>
      <c r="B125" t="b">
        <f xml:space="preserve"> NOT(ISNA(MATCH(A125, TblCoverage[Function], 0)))</f>
        <v>1</v>
      </c>
      <c r="C125" t="s">
        <v>52</v>
      </c>
      <c r="E125" t="s">
        <v>295</v>
      </c>
      <c r="F125" t="s">
        <v>315</v>
      </c>
      <c r="G125" t="s">
        <v>314</v>
      </c>
      <c r="H125" t="s">
        <v>327</v>
      </c>
      <c r="I125" t="s">
        <v>327</v>
      </c>
      <c r="J125" s="2" t="str">
        <f t="shared" si="3"/>
        <v>PASS</v>
      </c>
    </row>
    <row r="126" spans="1:10">
      <c r="A126" t="s">
        <v>299</v>
      </c>
      <c r="B126" t="b">
        <f xml:space="preserve"> NOT(ISNA(MATCH(A126, TblCoverage[Function], 0)))</f>
        <v>1</v>
      </c>
      <c r="C126" t="s">
        <v>52</v>
      </c>
      <c r="E126" t="s">
        <v>295</v>
      </c>
      <c r="F126" t="s">
        <v>312</v>
      </c>
      <c r="G126" s="40" t="s">
        <v>303</v>
      </c>
      <c r="H126" t="b">
        <v>1</v>
      </c>
      <c r="I126" t="b">
        <v>1</v>
      </c>
      <c r="J126" s="2" t="str">
        <f t="shared" si="3"/>
        <v>PASS</v>
      </c>
    </row>
    <row r="127" spans="1:10">
      <c r="A127" t="s">
        <v>297</v>
      </c>
      <c r="B127" t="b">
        <f xml:space="preserve"> NOT(ISNA(MATCH(A127, TblCoverage[Function], 0)))</f>
        <v>1</v>
      </c>
      <c r="C127" t="s">
        <v>52</v>
      </c>
      <c r="E127" t="s">
        <v>295</v>
      </c>
      <c r="F127" t="s">
        <v>313</v>
      </c>
      <c r="G127" s="40" t="s">
        <v>304</v>
      </c>
      <c r="H127" t="b">
        <v>0</v>
      </c>
      <c r="I127" t="b">
        <v>0</v>
      </c>
      <c r="J127" s="2" t="str">
        <f t="shared" si="3"/>
        <v>PASS</v>
      </c>
    </row>
    <row r="128" spans="1:10">
      <c r="A128" t="s">
        <v>301</v>
      </c>
      <c r="B128" t="b">
        <f xml:space="preserve"> NOT(ISNA(MATCH(A128, TblCoverage[Function], 0)))</f>
        <v>1</v>
      </c>
      <c r="C128" t="s">
        <v>52</v>
      </c>
      <c r="E128" t="s">
        <v>295</v>
      </c>
      <c r="F128" t="s">
        <v>323</v>
      </c>
      <c r="G128" t="s">
        <v>316</v>
      </c>
      <c r="H128" t="s">
        <v>125</v>
      </c>
      <c r="I128" t="s">
        <v>125</v>
      </c>
      <c r="J128" s="2" t="str">
        <f t="shared" si="3"/>
        <v>PASS</v>
      </c>
    </row>
    <row r="129" spans="1:22">
      <c r="A129" t="s">
        <v>18</v>
      </c>
      <c r="B129" t="b">
        <f xml:space="preserve"> NOT(ISNA(MATCH(A129, TblCoverage[Function], 0)))</f>
        <v>1</v>
      </c>
      <c r="C129" t="s">
        <v>55</v>
      </c>
      <c r="E129" t="s">
        <v>295</v>
      </c>
      <c r="F129" t="s">
        <v>322</v>
      </c>
      <c r="G129" s="40" t="s">
        <v>320</v>
      </c>
      <c r="H129" t="s">
        <v>54</v>
      </c>
      <c r="I129" t="s">
        <v>54</v>
      </c>
      <c r="J129" s="2" t="str">
        <f t="shared" si="3"/>
        <v>PASS</v>
      </c>
    </row>
    <row r="130" spans="1:22">
      <c r="A130" t="s">
        <v>20</v>
      </c>
      <c r="B130" t="b">
        <f xml:space="preserve"> NOT(ISNA(MATCH(A130, TblCoverage[Function], 0)))</f>
        <v>1</v>
      </c>
      <c r="C130" t="s">
        <v>55</v>
      </c>
      <c r="E130" t="s">
        <v>295</v>
      </c>
      <c r="F130" t="s">
        <v>317</v>
      </c>
      <c r="G130" s="40" t="s">
        <v>303</v>
      </c>
      <c r="H130" t="b">
        <v>0</v>
      </c>
      <c r="I130" t="b">
        <v>0</v>
      </c>
      <c r="J130" s="2" t="str">
        <f t="shared" si="3"/>
        <v>PASS</v>
      </c>
    </row>
    <row r="131" spans="1:22">
      <c r="A131" t="s">
        <v>294</v>
      </c>
      <c r="B131" t="b">
        <f xml:space="preserve"> NOT(ISNA(MATCH(A131, TblCoverage[Function], 0)))</f>
        <v>1</v>
      </c>
      <c r="C131" t="s">
        <v>52</v>
      </c>
      <c r="E131" t="s">
        <v>295</v>
      </c>
      <c r="F131" t="s">
        <v>318</v>
      </c>
      <c r="G131" s="40" t="s">
        <v>304</v>
      </c>
      <c r="H131" t="b">
        <v>1</v>
      </c>
      <c r="I131" t="b">
        <v>1</v>
      </c>
      <c r="J131" s="2" t="str">
        <f t="shared" si="3"/>
        <v>PASS</v>
      </c>
    </row>
    <row r="132" spans="1:22">
      <c r="A132" t="s">
        <v>300</v>
      </c>
      <c r="B132" t="b">
        <f xml:space="preserve"> NOT(ISNA(MATCH(A132, TblCoverage[Function], 0)))</f>
        <v>1</v>
      </c>
      <c r="C132" t="s">
        <v>52</v>
      </c>
      <c r="E132" t="s">
        <v>295</v>
      </c>
      <c r="F132" t="s">
        <v>324</v>
      </c>
      <c r="G132" t="s">
        <v>319</v>
      </c>
      <c r="H132" t="s">
        <v>125</v>
      </c>
      <c r="I132" t="s">
        <v>125</v>
      </c>
      <c r="J132" s="2" t="str">
        <f t="shared" si="3"/>
        <v>PASS</v>
      </c>
    </row>
    <row r="133" spans="1:22">
      <c r="A133" t="s">
        <v>302</v>
      </c>
      <c r="B133" t="b">
        <f xml:space="preserve"> NOT(ISNA(MATCH(A133, TblCoverage[Function], 0)))</f>
        <v>1</v>
      </c>
      <c r="C133" t="s">
        <v>52</v>
      </c>
      <c r="E133" t="s">
        <v>295</v>
      </c>
      <c r="F133" t="s">
        <v>321</v>
      </c>
      <c r="G133" s="40" t="s">
        <v>320</v>
      </c>
      <c r="H133" t="s">
        <v>44</v>
      </c>
      <c r="I133" t="s">
        <v>44</v>
      </c>
      <c r="J133" s="2" t="str">
        <f t="shared" si="3"/>
        <v>PASS</v>
      </c>
    </row>
    <row r="134" spans="1:22">
      <c r="E134" t="s">
        <v>295</v>
      </c>
      <c r="F134" t="s">
        <v>325</v>
      </c>
      <c r="G134" t="s">
        <v>326</v>
      </c>
      <c r="H134">
        <v>1</v>
      </c>
      <c r="I134">
        <v>1</v>
      </c>
      <c r="J134" s="2" t="str">
        <f t="shared" si="3"/>
        <v>PASS</v>
      </c>
    </row>
    <row r="135" spans="1:22" ht="15.75" thickBot="1"/>
    <row r="136" spans="1:22">
      <c r="A136" t="s">
        <v>26</v>
      </c>
      <c r="B136" t="b">
        <f xml:space="preserve"> NOT(ISNA(MATCH(A136, TblCoverage[Function], 0)))</f>
        <v>1</v>
      </c>
      <c r="C136" t="s">
        <v>52</v>
      </c>
      <c r="E136" t="s">
        <v>25</v>
      </c>
      <c r="F136" t="s">
        <v>344</v>
      </c>
      <c r="G136" s="40" t="s">
        <v>345</v>
      </c>
      <c r="H136">
        <v>6</v>
      </c>
      <c r="I136">
        <v>6</v>
      </c>
      <c r="J136" s="32" t="str">
        <f t="shared" si="3"/>
        <v>PASS</v>
      </c>
      <c r="L136" s="10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1:22">
      <c r="A137" t="s">
        <v>51</v>
      </c>
      <c r="B137" t="b">
        <f xml:space="preserve"> NOT(ISNA(MATCH(A137, TblCoverage[Function], 0)))</f>
        <v>1</v>
      </c>
      <c r="C137" t="s">
        <v>52</v>
      </c>
      <c r="E137" t="s">
        <v>25</v>
      </c>
      <c r="F137" t="s">
        <v>347</v>
      </c>
      <c r="G137" s="40" t="s">
        <v>346</v>
      </c>
      <c r="H137" t="s">
        <v>338</v>
      </c>
      <c r="I137" t="s">
        <v>338</v>
      </c>
      <c r="J137" s="32" t="str">
        <f t="shared" si="3"/>
        <v>PASS</v>
      </c>
      <c r="L137" s="13"/>
      <c r="M137" s="23">
        <v>6</v>
      </c>
      <c r="N137" s="24">
        <v>5</v>
      </c>
      <c r="O137" s="24" t="s">
        <v>337</v>
      </c>
      <c r="P137" s="24" t="s">
        <v>338</v>
      </c>
      <c r="Q137" s="24">
        <v>8</v>
      </c>
      <c r="R137" s="24" t="s">
        <v>54</v>
      </c>
      <c r="S137" s="24">
        <v>3</v>
      </c>
      <c r="T137" s="24" t="s">
        <v>339</v>
      </c>
      <c r="U137" s="25" t="s">
        <v>340</v>
      </c>
      <c r="V137" s="15"/>
    </row>
    <row r="138" spans="1:22">
      <c r="A138" t="s">
        <v>27</v>
      </c>
      <c r="B138" t="b">
        <f xml:space="preserve"> NOT(ISNA(MATCH(A138, TblCoverage[Function], 0)))</f>
        <v>1</v>
      </c>
      <c r="C138" t="s">
        <v>52</v>
      </c>
      <c r="E138" t="s">
        <v>25</v>
      </c>
      <c r="F138" t="s">
        <v>348</v>
      </c>
      <c r="G138" s="40" t="s">
        <v>349</v>
      </c>
      <c r="H138" t="s">
        <v>45</v>
      </c>
      <c r="I138" t="s">
        <v>45</v>
      </c>
      <c r="J138" s="32" t="str">
        <f t="shared" si="3"/>
        <v>PASS</v>
      </c>
      <c r="L138" s="13"/>
      <c r="M138" s="23">
        <v>8</v>
      </c>
      <c r="N138" s="24" t="s">
        <v>341</v>
      </c>
      <c r="O138" s="24">
        <v>4</v>
      </c>
      <c r="P138" s="24" t="s">
        <v>342</v>
      </c>
      <c r="Q138" s="24" t="s">
        <v>343</v>
      </c>
      <c r="R138" s="24">
        <v>9</v>
      </c>
      <c r="S138" s="24">
        <v>2</v>
      </c>
      <c r="T138" s="24" t="s">
        <v>46</v>
      </c>
      <c r="U138" s="25" t="s">
        <v>45</v>
      </c>
      <c r="V138" s="15"/>
    </row>
    <row r="139" spans="1:22" ht="15.75" thickBot="1">
      <c r="A139" t="s">
        <v>63</v>
      </c>
      <c r="B139" t="b">
        <f xml:space="preserve"> NOT(ISNA(MATCH(A139, TblCoverage[Function], 0)))</f>
        <v>1</v>
      </c>
      <c r="C139" t="s">
        <v>52</v>
      </c>
      <c r="E139" t="s">
        <v>25</v>
      </c>
      <c r="F139" t="s">
        <v>350</v>
      </c>
      <c r="G139" s="40" t="s">
        <v>351</v>
      </c>
      <c r="H139" t="s">
        <v>342</v>
      </c>
      <c r="I139" t="s">
        <v>342</v>
      </c>
      <c r="J139" s="32" t="str">
        <f t="shared" ref="J139:J148" si="4" xml:space="preserve"> IF(H139 = I139, "PASS", "FAIL")</f>
        <v>PASS</v>
      </c>
      <c r="L139" s="17"/>
      <c r="M139" s="18"/>
      <c r="N139" s="18"/>
      <c r="O139" s="18"/>
      <c r="P139" s="18"/>
      <c r="Q139" s="18"/>
      <c r="R139" s="18"/>
      <c r="S139" s="18"/>
      <c r="T139" s="18"/>
      <c r="U139" s="18"/>
      <c r="V139" s="19"/>
    </row>
    <row r="140" spans="1:22">
      <c r="A140" t="s">
        <v>30</v>
      </c>
      <c r="B140" t="b">
        <f xml:space="preserve"> NOT(ISNA(MATCH(A140, TblCoverage[Function], 0)))</f>
        <v>1</v>
      </c>
      <c r="C140" t="s">
        <v>52</v>
      </c>
      <c r="E140" t="s">
        <v>25</v>
      </c>
      <c r="F140" t="s">
        <v>352</v>
      </c>
      <c r="G140" s="40" t="s">
        <v>353</v>
      </c>
      <c r="H140" t="s">
        <v>354</v>
      </c>
      <c r="I140" t="s">
        <v>354</v>
      </c>
      <c r="J140" s="32" t="str">
        <f t="shared" si="4"/>
        <v>PASS</v>
      </c>
    </row>
    <row r="141" spans="1:22">
      <c r="A141" t="s">
        <v>28</v>
      </c>
      <c r="B141" t="b">
        <f xml:space="preserve"> NOT(ISNA(MATCH(A141, TblCoverage[Function], 0)))</f>
        <v>1</v>
      </c>
      <c r="C141" t="s">
        <v>52</v>
      </c>
      <c r="E141" t="s">
        <v>25</v>
      </c>
      <c r="F141" t="s">
        <v>352</v>
      </c>
      <c r="G141" s="40" t="s">
        <v>355</v>
      </c>
      <c r="H141" t="s">
        <v>356</v>
      </c>
      <c r="I141" t="s">
        <v>356</v>
      </c>
      <c r="J141" s="32" t="str">
        <f t="shared" si="4"/>
        <v>PASS</v>
      </c>
    </row>
    <row r="142" spans="1:22">
      <c r="A142" t="s">
        <v>29</v>
      </c>
      <c r="B142" t="b">
        <f xml:space="preserve"> NOT(ISNA(MATCH(A142, TblCoverage[Function], 0)))</f>
        <v>1</v>
      </c>
      <c r="C142" t="s">
        <v>52</v>
      </c>
      <c r="E142" t="s">
        <v>25</v>
      </c>
      <c r="F142" t="s">
        <v>357</v>
      </c>
      <c r="G142" s="40" t="s">
        <v>358</v>
      </c>
      <c r="H142" s="51" t="s">
        <v>359</v>
      </c>
      <c r="I142" t="s">
        <v>359</v>
      </c>
      <c r="J142" s="32" t="str">
        <f t="shared" si="4"/>
        <v>PASS</v>
      </c>
    </row>
    <row r="143" spans="1:22">
      <c r="A143" t="s">
        <v>149</v>
      </c>
      <c r="B143" t="b">
        <f xml:space="preserve"> NOT(ISNA(MATCH(A143, TblCoverage[Function], 0)))</f>
        <v>1</v>
      </c>
      <c r="C143" t="s">
        <v>52</v>
      </c>
      <c r="E143" t="s">
        <v>25</v>
      </c>
      <c r="F143" t="s">
        <v>362</v>
      </c>
      <c r="G143" s="40" t="s">
        <v>364</v>
      </c>
      <c r="H143">
        <v>48</v>
      </c>
      <c r="I143">
        <v>48</v>
      </c>
      <c r="J143" s="32" t="str">
        <f t="shared" si="4"/>
        <v>PASS</v>
      </c>
    </row>
    <row r="144" spans="1:22">
      <c r="E144" t="s">
        <v>25</v>
      </c>
      <c r="F144" t="s">
        <v>361</v>
      </c>
      <c r="G144" s="40" t="s">
        <v>360</v>
      </c>
      <c r="H144">
        <v>15.75</v>
      </c>
      <c r="I144">
        <v>15.75</v>
      </c>
      <c r="J144" s="32" t="str">
        <f t="shared" si="4"/>
        <v>PASS</v>
      </c>
    </row>
    <row r="145" spans="1:10">
      <c r="E145" t="s">
        <v>25</v>
      </c>
      <c r="F145" t="s">
        <v>363</v>
      </c>
      <c r="G145" s="40" t="s">
        <v>365</v>
      </c>
      <c r="H145">
        <v>15.75</v>
      </c>
      <c r="I145">
        <v>15.75</v>
      </c>
      <c r="J145" s="32" t="str">
        <f t="shared" si="4"/>
        <v>PASS</v>
      </c>
    </row>
    <row r="146" spans="1:10">
      <c r="E146" t="s">
        <v>25</v>
      </c>
      <c r="F146" t="s">
        <v>366</v>
      </c>
      <c r="G146" s="40" t="s">
        <v>367</v>
      </c>
      <c r="H146">
        <v>15.75</v>
      </c>
      <c r="I146">
        <v>15.75</v>
      </c>
      <c r="J146" s="32" t="str">
        <f t="shared" si="4"/>
        <v>PASS</v>
      </c>
    </row>
    <row r="147" spans="1:10">
      <c r="E147" t="s">
        <v>25</v>
      </c>
      <c r="F147" t="s">
        <v>368</v>
      </c>
      <c r="G147" s="40" t="s">
        <v>369</v>
      </c>
      <c r="H147" t="s">
        <v>370</v>
      </c>
      <c r="I147" t="s">
        <v>370</v>
      </c>
      <c r="J147" s="32" t="str">
        <f t="shared" si="4"/>
        <v>PASS</v>
      </c>
    </row>
    <row r="148" spans="1:10">
      <c r="E148" t="s">
        <v>25</v>
      </c>
      <c r="F148" t="s">
        <v>372</v>
      </c>
      <c r="G148" s="40" t="s">
        <v>371</v>
      </c>
      <c r="H148" t="s">
        <v>58</v>
      </c>
      <c r="I148" t="s">
        <v>58</v>
      </c>
      <c r="J148" s="32" t="str">
        <f t="shared" si="4"/>
        <v>PASS</v>
      </c>
    </row>
    <row r="149" spans="1:10">
      <c r="E149" t="s">
        <v>25</v>
      </c>
      <c r="F149" t="s">
        <v>373</v>
      </c>
      <c r="G149" s="40" t="s">
        <v>374</v>
      </c>
      <c r="H149" t="s">
        <v>375</v>
      </c>
      <c r="I149" t="s">
        <v>375</v>
      </c>
      <c r="J149" s="32" t="str">
        <f t="shared" ref="J149:J160" si="5" xml:space="preserve"> IF(H149 = I149, "PASS", "FAIL")</f>
        <v>PASS</v>
      </c>
    </row>
    <row r="151" spans="1:10">
      <c r="A151" t="s">
        <v>376</v>
      </c>
      <c r="B151" t="b">
        <f xml:space="preserve"> NOT(ISNA(MATCH(A151, TblCoverage[Function], 0)))</f>
        <v>1</v>
      </c>
      <c r="C151" t="s">
        <v>55</v>
      </c>
      <c r="E151" t="s">
        <v>377</v>
      </c>
      <c r="F151" t="s">
        <v>389</v>
      </c>
      <c r="G151" t="s">
        <v>388</v>
      </c>
      <c r="H151" t="s">
        <v>397</v>
      </c>
      <c r="I151" t="s">
        <v>397</v>
      </c>
      <c r="J151" s="32" t="str">
        <f t="shared" si="5"/>
        <v>PASS</v>
      </c>
    </row>
    <row r="152" spans="1:10">
      <c r="A152" t="s">
        <v>378</v>
      </c>
      <c r="B152" t="b">
        <f xml:space="preserve"> NOT(ISNA(MATCH(A152, TblCoverage[Function], 0)))</f>
        <v>1</v>
      </c>
      <c r="C152" t="s">
        <v>52</v>
      </c>
      <c r="E152" t="s">
        <v>377</v>
      </c>
      <c r="F152" t="s">
        <v>390</v>
      </c>
      <c r="G152" t="s">
        <v>391</v>
      </c>
      <c r="H152" t="s">
        <v>398</v>
      </c>
      <c r="I152" t="s">
        <v>398</v>
      </c>
      <c r="J152" s="32" t="str">
        <f t="shared" si="5"/>
        <v>PASS</v>
      </c>
    </row>
    <row r="153" spans="1:10">
      <c r="A153" t="s">
        <v>379</v>
      </c>
      <c r="B153" t="b">
        <f xml:space="preserve"> NOT(ISNA(MATCH(A153, TblCoverage[Function], 0)))</f>
        <v>1</v>
      </c>
      <c r="C153" t="s">
        <v>52</v>
      </c>
      <c r="E153" t="s">
        <v>377</v>
      </c>
      <c r="F153" t="s">
        <v>396</v>
      </c>
      <c r="G153" t="s">
        <v>393</v>
      </c>
      <c r="H153" t="s">
        <v>399</v>
      </c>
      <c r="I153" t="s">
        <v>399</v>
      </c>
      <c r="J153" s="32" t="str">
        <f t="shared" si="5"/>
        <v>PASS</v>
      </c>
    </row>
    <row r="154" spans="1:10">
      <c r="A154" t="s">
        <v>380</v>
      </c>
      <c r="B154" t="b">
        <f xml:space="preserve"> NOT(ISNA(MATCH(A154, TblCoverage[Function], 0)))</f>
        <v>1</v>
      </c>
      <c r="C154" t="s">
        <v>55</v>
      </c>
      <c r="E154" t="s">
        <v>377</v>
      </c>
      <c r="F154" t="s">
        <v>400</v>
      </c>
      <c r="G154" t="s">
        <v>403</v>
      </c>
      <c r="H154" t="s">
        <v>405</v>
      </c>
      <c r="I154" t="s">
        <v>405</v>
      </c>
      <c r="J154" s="32" t="str">
        <f t="shared" si="5"/>
        <v>PASS</v>
      </c>
    </row>
    <row r="155" spans="1:10">
      <c r="A155" t="s">
        <v>381</v>
      </c>
      <c r="B155" t="b">
        <f xml:space="preserve"> NOT(ISNA(MATCH(A155, TblCoverage[Function], 0)))</f>
        <v>1</v>
      </c>
      <c r="C155" t="s">
        <v>55</v>
      </c>
      <c r="E155" t="s">
        <v>377</v>
      </c>
      <c r="F155" t="s">
        <v>417</v>
      </c>
      <c r="G155" s="40" t="s">
        <v>421</v>
      </c>
      <c r="H155" t="s">
        <v>422</v>
      </c>
      <c r="I155" t="s">
        <v>422</v>
      </c>
      <c r="J155" s="32" t="str">
        <f t="shared" si="5"/>
        <v>PASS</v>
      </c>
    </row>
    <row r="156" spans="1:10">
      <c r="A156" t="s">
        <v>382</v>
      </c>
      <c r="B156" t="b">
        <f xml:space="preserve"> NOT(ISNA(MATCH(A156, TblCoverage[Function], 0)))</f>
        <v>1</v>
      </c>
      <c r="C156" t="s">
        <v>52</v>
      </c>
      <c r="E156" t="s">
        <v>377</v>
      </c>
      <c r="F156" t="s">
        <v>401</v>
      </c>
      <c r="G156" t="s">
        <v>394</v>
      </c>
      <c r="H156" t="s">
        <v>405</v>
      </c>
      <c r="I156" t="s">
        <v>405</v>
      </c>
      <c r="J156" s="32" t="str">
        <f t="shared" si="5"/>
        <v>PASS</v>
      </c>
    </row>
    <row r="157" spans="1:10">
      <c r="A157" t="s">
        <v>383</v>
      </c>
      <c r="B157" t="b">
        <f xml:space="preserve"> NOT(ISNA(MATCH(A157, TblCoverage[Function], 0)))</f>
        <v>1</v>
      </c>
      <c r="C157" t="s">
        <v>52</v>
      </c>
      <c r="E157" t="s">
        <v>377</v>
      </c>
      <c r="F157" t="s">
        <v>418</v>
      </c>
      <c r="G157" s="40" t="s">
        <v>421</v>
      </c>
      <c r="H157" t="s">
        <v>422</v>
      </c>
      <c r="I157" t="s">
        <v>422</v>
      </c>
      <c r="J157" s="32" t="str">
        <f t="shared" si="5"/>
        <v>PASS</v>
      </c>
    </row>
    <row r="158" spans="1:10">
      <c r="A158" t="s">
        <v>435</v>
      </c>
      <c r="B158" t="b">
        <f xml:space="preserve"> NOT(ISNA(MATCH(A158, TblCoverage[Function], 0)))</f>
        <v>1</v>
      </c>
      <c r="C158" t="s">
        <v>52</v>
      </c>
      <c r="E158" t="s">
        <v>377</v>
      </c>
      <c r="F158" t="s">
        <v>402</v>
      </c>
      <c r="G158" t="s">
        <v>404</v>
      </c>
      <c r="H158" t="s">
        <v>406</v>
      </c>
      <c r="I158" t="s">
        <v>406</v>
      </c>
      <c r="J158" s="32" t="str">
        <f t="shared" si="5"/>
        <v>PASS</v>
      </c>
    </row>
    <row r="159" spans="1:10">
      <c r="A159" t="s">
        <v>441</v>
      </c>
      <c r="B159" t="b">
        <f xml:space="preserve"> NOT(ISNA(MATCH(A159, TblCoverage[Function], 0)))</f>
        <v>1</v>
      </c>
      <c r="C159" t="s">
        <v>52</v>
      </c>
      <c r="E159" t="s">
        <v>377</v>
      </c>
      <c r="F159" t="s">
        <v>419</v>
      </c>
      <c r="G159" s="40" t="s">
        <v>421</v>
      </c>
      <c r="H159" t="s">
        <v>422</v>
      </c>
      <c r="I159" t="s">
        <v>422</v>
      </c>
      <c r="J159" s="32" t="str">
        <f t="shared" si="5"/>
        <v>PASS</v>
      </c>
    </row>
    <row r="160" spans="1:10">
      <c r="A160" t="s">
        <v>450</v>
      </c>
      <c r="B160" t="b">
        <f xml:space="preserve"> NOT(ISNA(MATCH(A160, TblCoverage[Function], 0)))</f>
        <v>1</v>
      </c>
      <c r="C160" t="s">
        <v>55</v>
      </c>
      <c r="E160" t="s">
        <v>377</v>
      </c>
      <c r="F160" t="s">
        <v>395</v>
      </c>
      <c r="G160" t="s">
        <v>392</v>
      </c>
      <c r="H160">
        <v>5</v>
      </c>
      <c r="I160">
        <v>5</v>
      </c>
      <c r="J160" s="2" t="str">
        <f t="shared" si="5"/>
        <v>PASS</v>
      </c>
    </row>
    <row r="161" spans="1:10">
      <c r="A161" t="s">
        <v>453</v>
      </c>
      <c r="B161" t="b">
        <f xml:space="preserve"> NOT(ISNA(MATCH(A161, TblCoverage[Function], 0)))</f>
        <v>1</v>
      </c>
      <c r="C161" t="s">
        <v>55</v>
      </c>
      <c r="E161" t="s">
        <v>377</v>
      </c>
      <c r="F161" t="s">
        <v>423</v>
      </c>
      <c r="G161" t="s">
        <v>403</v>
      </c>
      <c r="H161" t="s">
        <v>405</v>
      </c>
      <c r="I161" t="s">
        <v>405</v>
      </c>
      <c r="J161" s="32" t="str">
        <f t="shared" ref="J161:J179" si="6" xml:space="preserve"> IF(H161 = I161, "PASS", "FAIL")</f>
        <v>PASS</v>
      </c>
    </row>
    <row r="162" spans="1:10">
      <c r="A162" t="s">
        <v>451</v>
      </c>
      <c r="B162" t="b">
        <f xml:space="preserve"> NOT(ISNA(MATCH(A162, TblCoverage[Function], 0)))</f>
        <v>1</v>
      </c>
      <c r="C162" t="s">
        <v>52</v>
      </c>
      <c r="E162" t="s">
        <v>377</v>
      </c>
      <c r="F162" t="s">
        <v>420</v>
      </c>
      <c r="G162" s="40" t="s">
        <v>421</v>
      </c>
      <c r="H162" t="s">
        <v>422</v>
      </c>
      <c r="I162" t="s">
        <v>422</v>
      </c>
      <c r="J162" s="32" t="str">
        <f t="shared" si="6"/>
        <v>PASS</v>
      </c>
    </row>
    <row r="163" spans="1:10">
      <c r="A163" t="s">
        <v>452</v>
      </c>
      <c r="B163" t="b">
        <f xml:space="preserve"> NOT(ISNA(MATCH(A163, TblCoverage[Function], 0)))</f>
        <v>1</v>
      </c>
      <c r="C163" t="s">
        <v>52</v>
      </c>
      <c r="E163" t="s">
        <v>377</v>
      </c>
      <c r="F163" t="s">
        <v>424</v>
      </c>
      <c r="G163" t="s">
        <v>404</v>
      </c>
      <c r="H163" t="s">
        <v>406</v>
      </c>
      <c r="I163" t="s">
        <v>406</v>
      </c>
      <c r="J163" s="32" t="str">
        <f t="shared" si="6"/>
        <v>PASS</v>
      </c>
    </row>
    <row r="164" spans="1:10">
      <c r="A164" t="s">
        <v>454</v>
      </c>
      <c r="B164" t="b">
        <f xml:space="preserve"> NOT(ISNA(MATCH(A164, TblCoverage[Function], 0)))</f>
        <v>1</v>
      </c>
      <c r="C164" t="s">
        <v>52</v>
      </c>
      <c r="E164" t="s">
        <v>377</v>
      </c>
      <c r="F164" t="s">
        <v>425</v>
      </c>
      <c r="G164" s="40" t="s">
        <v>421</v>
      </c>
      <c r="H164" t="s">
        <v>422</v>
      </c>
      <c r="I164" t="s">
        <v>422</v>
      </c>
      <c r="J164" s="32" t="str">
        <f t="shared" si="6"/>
        <v>PASS</v>
      </c>
    </row>
    <row r="165" spans="1:10">
      <c r="A165" t="s">
        <v>492</v>
      </c>
      <c r="B165" t="b">
        <f xml:space="preserve"> NOT(ISNA(MATCH(A165, TblCoverage[Function], 0)))</f>
        <v>1</v>
      </c>
      <c r="C165" t="s">
        <v>52</v>
      </c>
      <c r="E165" t="s">
        <v>377</v>
      </c>
      <c r="F165" t="s">
        <v>426</v>
      </c>
      <c r="G165" t="s">
        <v>427</v>
      </c>
      <c r="H165" t="s">
        <v>428</v>
      </c>
      <c r="I165" t="s">
        <v>428</v>
      </c>
      <c r="J165" s="32" t="str">
        <f t="shared" si="6"/>
        <v>PASS</v>
      </c>
    </row>
    <row r="166" spans="1:10">
      <c r="E166" t="s">
        <v>377</v>
      </c>
      <c r="F166" t="s">
        <v>429</v>
      </c>
      <c r="G166" t="s">
        <v>431</v>
      </c>
      <c r="H166" t="s">
        <v>433</v>
      </c>
      <c r="I166" t="s">
        <v>433</v>
      </c>
      <c r="J166" s="32" t="str">
        <f t="shared" si="6"/>
        <v>PASS</v>
      </c>
    </row>
    <row r="167" spans="1:10">
      <c r="E167" t="s">
        <v>377</v>
      </c>
      <c r="F167" t="s">
        <v>430</v>
      </c>
      <c r="G167" t="s">
        <v>432</v>
      </c>
      <c r="H167" t="s">
        <v>434</v>
      </c>
      <c r="I167" t="s">
        <v>434</v>
      </c>
      <c r="J167" s="32" t="str">
        <f t="shared" si="6"/>
        <v>PASS</v>
      </c>
    </row>
    <row r="168" spans="1:10">
      <c r="E168" t="s">
        <v>377</v>
      </c>
      <c r="F168" t="s">
        <v>436</v>
      </c>
      <c r="G168" t="s">
        <v>437</v>
      </c>
      <c r="H168" t="s">
        <v>405</v>
      </c>
      <c r="I168" t="s">
        <v>405</v>
      </c>
      <c r="J168" s="32" t="str">
        <f t="shared" si="6"/>
        <v>PASS</v>
      </c>
    </row>
    <row r="169" spans="1:10">
      <c r="E169" t="s">
        <v>377</v>
      </c>
      <c r="F169" t="s">
        <v>438</v>
      </c>
      <c r="G169" t="s">
        <v>439</v>
      </c>
      <c r="H169" t="s">
        <v>444</v>
      </c>
      <c r="I169" t="s">
        <v>444</v>
      </c>
      <c r="J169" s="32" t="str">
        <f t="shared" si="6"/>
        <v>PASS</v>
      </c>
    </row>
    <row r="170" spans="1:10">
      <c r="E170" t="s">
        <v>377</v>
      </c>
      <c r="F170" t="s">
        <v>456</v>
      </c>
      <c r="G170" t="s">
        <v>455</v>
      </c>
      <c r="H170" t="s">
        <v>446</v>
      </c>
      <c r="I170" t="s">
        <v>446</v>
      </c>
      <c r="J170" s="32" t="str">
        <f t="shared" si="6"/>
        <v>PASS</v>
      </c>
    </row>
    <row r="171" spans="1:10">
      <c r="E171" t="s">
        <v>377</v>
      </c>
      <c r="F171" t="s">
        <v>457</v>
      </c>
      <c r="G171" t="s">
        <v>458</v>
      </c>
      <c r="H171" t="s">
        <v>459</v>
      </c>
      <c r="I171" t="s">
        <v>459</v>
      </c>
      <c r="J171" s="32" t="str">
        <f t="shared" si="6"/>
        <v>PASS</v>
      </c>
    </row>
    <row r="172" spans="1:10">
      <c r="E172" t="s">
        <v>377</v>
      </c>
      <c r="F172" t="s">
        <v>442</v>
      </c>
      <c r="G172" t="s">
        <v>443</v>
      </c>
      <c r="H172" t="s">
        <v>445</v>
      </c>
      <c r="I172" t="s">
        <v>445</v>
      </c>
      <c r="J172" s="32" t="str">
        <f t="shared" si="6"/>
        <v>PASS</v>
      </c>
    </row>
    <row r="173" spans="1:10">
      <c r="E173" t="s">
        <v>377</v>
      </c>
      <c r="F173" t="s">
        <v>448</v>
      </c>
      <c r="G173" t="s">
        <v>449</v>
      </c>
      <c r="H173" t="s">
        <v>447</v>
      </c>
      <c r="I173" t="s">
        <v>447</v>
      </c>
      <c r="J173" s="32" t="str">
        <f t="shared" si="6"/>
        <v>PASS</v>
      </c>
    </row>
    <row r="174" spans="1:10">
      <c r="E174" t="s">
        <v>377</v>
      </c>
      <c r="F174" t="s">
        <v>460</v>
      </c>
      <c r="G174" t="s">
        <v>461</v>
      </c>
      <c r="H174">
        <v>3</v>
      </c>
      <c r="I174">
        <v>3</v>
      </c>
      <c r="J174" s="32" t="str">
        <f t="shared" si="6"/>
        <v>PASS</v>
      </c>
    </row>
    <row r="175" spans="1:10">
      <c r="E175" t="s">
        <v>377</v>
      </c>
      <c r="F175" t="s">
        <v>464</v>
      </c>
      <c r="G175" t="s">
        <v>462</v>
      </c>
      <c r="H175" t="s">
        <v>44</v>
      </c>
      <c r="I175" t="s">
        <v>44</v>
      </c>
      <c r="J175" s="32" t="str">
        <f t="shared" si="6"/>
        <v>PASS</v>
      </c>
    </row>
    <row r="176" spans="1:10">
      <c r="E176" t="s">
        <v>377</v>
      </c>
      <c r="F176" t="s">
        <v>465</v>
      </c>
      <c r="G176" t="s">
        <v>463</v>
      </c>
      <c r="H176" t="s">
        <v>440</v>
      </c>
      <c r="I176" t="s">
        <v>440</v>
      </c>
      <c r="J176" s="32" t="str">
        <f t="shared" si="6"/>
        <v>PASS</v>
      </c>
    </row>
    <row r="177" spans="5:10">
      <c r="E177" t="s">
        <v>377</v>
      </c>
      <c r="F177" t="s">
        <v>466</v>
      </c>
      <c r="G177" t="s">
        <v>469</v>
      </c>
      <c r="H177" t="s">
        <v>125</v>
      </c>
      <c r="I177" t="s">
        <v>125</v>
      </c>
      <c r="J177" s="32" t="str">
        <f t="shared" si="6"/>
        <v>PASS</v>
      </c>
    </row>
    <row r="178" spans="5:10">
      <c r="E178" t="s">
        <v>377</v>
      </c>
      <c r="F178" t="s">
        <v>467</v>
      </c>
      <c r="G178" t="s">
        <v>470</v>
      </c>
      <c r="H178" t="s">
        <v>125</v>
      </c>
      <c r="I178" t="s">
        <v>125</v>
      </c>
      <c r="J178" s="32" t="str">
        <f t="shared" si="6"/>
        <v>PASS</v>
      </c>
    </row>
    <row r="179" spans="5:10">
      <c r="E179" t="s">
        <v>377</v>
      </c>
      <c r="F179" t="s">
        <v>468</v>
      </c>
      <c r="G179" t="s">
        <v>471</v>
      </c>
      <c r="H179" t="s">
        <v>125</v>
      </c>
      <c r="I179" t="s">
        <v>125</v>
      </c>
      <c r="J179" s="32" t="str">
        <f t="shared" si="6"/>
        <v>PASS</v>
      </c>
    </row>
    <row r="180" spans="5:10">
      <c r="E180" t="s">
        <v>377</v>
      </c>
      <c r="F180" t="s">
        <v>460</v>
      </c>
      <c r="G180" t="s">
        <v>461</v>
      </c>
      <c r="H180" t="s">
        <v>472</v>
      </c>
      <c r="I180" t="s">
        <v>472</v>
      </c>
      <c r="J180" s="32" t="str">
        <f t="shared" ref="J180:J189" si="7" xml:space="preserve"> IF(H180 = I180, "PASS", "FAIL")</f>
        <v>PASS</v>
      </c>
    </row>
    <row r="181" spans="5:10">
      <c r="E181" t="s">
        <v>377</v>
      </c>
      <c r="F181" t="s">
        <v>464</v>
      </c>
      <c r="G181" t="s">
        <v>462</v>
      </c>
      <c r="H181" t="s">
        <v>473</v>
      </c>
      <c r="I181" t="s">
        <v>473</v>
      </c>
      <c r="J181" s="32" t="str">
        <f t="shared" si="7"/>
        <v>PASS</v>
      </c>
    </row>
    <row r="182" spans="5:10">
      <c r="E182" t="s">
        <v>377</v>
      </c>
      <c r="F182" t="s">
        <v>465</v>
      </c>
      <c r="G182" t="s">
        <v>463</v>
      </c>
      <c r="H182" t="s">
        <v>474</v>
      </c>
      <c r="I182" t="s">
        <v>474</v>
      </c>
      <c r="J182" s="32" t="str">
        <f t="shared" si="7"/>
        <v>PASS</v>
      </c>
    </row>
    <row r="183" spans="5:10">
      <c r="E183" t="s">
        <v>377</v>
      </c>
      <c r="F183" t="s">
        <v>475</v>
      </c>
      <c r="G183" t="s">
        <v>476</v>
      </c>
      <c r="H183" t="s">
        <v>477</v>
      </c>
      <c r="I183" t="s">
        <v>477</v>
      </c>
      <c r="J183" s="32" t="str">
        <f t="shared" si="7"/>
        <v>PASS</v>
      </c>
    </row>
    <row r="184" spans="5:10">
      <c r="E184" t="s">
        <v>377</v>
      </c>
      <c r="F184" t="s">
        <v>478</v>
      </c>
      <c r="G184" t="s">
        <v>483</v>
      </c>
      <c r="H184" t="s">
        <v>488</v>
      </c>
      <c r="I184" t="s">
        <v>488</v>
      </c>
      <c r="J184" s="32" t="str">
        <f t="shared" si="7"/>
        <v>PASS</v>
      </c>
    </row>
    <row r="185" spans="5:10">
      <c r="E185" t="s">
        <v>377</v>
      </c>
      <c r="F185" t="s">
        <v>479</v>
      </c>
      <c r="G185" t="s">
        <v>484</v>
      </c>
      <c r="H185" t="s">
        <v>489</v>
      </c>
      <c r="I185" t="s">
        <v>489</v>
      </c>
      <c r="J185" s="32" t="str">
        <f t="shared" si="7"/>
        <v>PASS</v>
      </c>
    </row>
    <row r="186" spans="5:10">
      <c r="E186" t="s">
        <v>377</v>
      </c>
      <c r="F186" t="s">
        <v>480</v>
      </c>
      <c r="G186" t="s">
        <v>485</v>
      </c>
      <c r="H186" t="s">
        <v>488</v>
      </c>
      <c r="I186" t="s">
        <v>488</v>
      </c>
      <c r="J186" s="32" t="str">
        <f t="shared" si="7"/>
        <v>PASS</v>
      </c>
    </row>
    <row r="187" spans="5:10">
      <c r="E187" t="s">
        <v>377</v>
      </c>
      <c r="F187" t="s">
        <v>481</v>
      </c>
      <c r="G187" t="s">
        <v>486</v>
      </c>
      <c r="H187" t="s">
        <v>490</v>
      </c>
      <c r="I187" t="s">
        <v>490</v>
      </c>
      <c r="J187" s="32" t="str">
        <f t="shared" si="7"/>
        <v>PASS</v>
      </c>
    </row>
    <row r="188" spans="5:10">
      <c r="E188" t="s">
        <v>377</v>
      </c>
      <c r="F188" t="s">
        <v>482</v>
      </c>
      <c r="G188" t="s">
        <v>487</v>
      </c>
      <c r="H188" t="s">
        <v>491</v>
      </c>
      <c r="I188" t="s">
        <v>491</v>
      </c>
      <c r="J188" s="32" t="str">
        <f t="shared" si="7"/>
        <v>PASS</v>
      </c>
    </row>
    <row r="189" spans="5:10">
      <c r="E189" t="s">
        <v>377</v>
      </c>
      <c r="F189" t="s">
        <v>493</v>
      </c>
      <c r="G189" t="s">
        <v>494</v>
      </c>
      <c r="H189" t="s">
        <v>495</v>
      </c>
      <c r="I189" t="s">
        <v>495</v>
      </c>
      <c r="J189" s="32" t="str">
        <f t="shared" si="7"/>
        <v>PASS</v>
      </c>
    </row>
  </sheetData>
  <conditionalFormatting sqref="E107:G109 I109 E98:G105 F111:F120 E122:G123 A128:B128 F128:G128 A126:A127 B125:B130 A7:B123 A130:B10020">
    <cfRule type="expression" dxfId="15" priority="14">
      <formula xml:space="preserve"> ""&amp;$B7 = "FALSE"</formula>
    </cfRule>
  </conditionalFormatting>
  <conditionalFormatting sqref="J7:J10024">
    <cfRule type="cellIs" dxfId="14" priority="15" operator="equal">
      <formula>"FAIL"</formula>
    </cfRule>
    <cfRule type="cellIs" dxfId="13" priority="16" operator="equal">
      <formula>"PASS"</formula>
    </cfRule>
  </conditionalFormatting>
  <conditionalFormatting sqref="E111:E120">
    <cfRule type="expression" dxfId="12" priority="12">
      <formula xml:space="preserve"> ""&amp;$B111 = "FALSE"</formula>
    </cfRule>
  </conditionalFormatting>
  <conditionalFormatting sqref="F130:G130">
    <cfRule type="expression" dxfId="11" priority="26">
      <formula xml:space="preserve"> ""&amp;#REF! = "FALSE"</formula>
    </cfRule>
  </conditionalFormatting>
  <conditionalFormatting sqref="G130">
    <cfRule type="expression" dxfId="10" priority="53">
      <formula xml:space="preserve"> ""&amp;$B132 = "FALSE"</formula>
    </cfRule>
  </conditionalFormatting>
  <conditionalFormatting sqref="G131">
    <cfRule type="expression" dxfId="9" priority="57">
      <formula xml:space="preserve"> ""&amp;#REF! = "FALSE"</formula>
    </cfRule>
  </conditionalFormatting>
  <conditionalFormatting sqref="E124:G124">
    <cfRule type="expression" dxfId="8" priority="68">
      <formula xml:space="preserve"> ""&amp;$B131 = "FALSE"</formula>
    </cfRule>
  </conditionalFormatting>
  <conditionalFormatting sqref="F125">
    <cfRule type="expression" dxfId="7" priority="69">
      <formula xml:space="preserve"> ""&amp;$B130 = "FALSE"</formula>
    </cfRule>
  </conditionalFormatting>
  <conditionalFormatting sqref="F126:G127">
    <cfRule type="expression" dxfId="6" priority="70">
      <formula xml:space="preserve"> ""&amp;$B129 = "FALSE"</formula>
    </cfRule>
  </conditionalFormatting>
  <conditionalFormatting sqref="B124">
    <cfRule type="expression" dxfId="5" priority="1">
      <formula xml:space="preserve"> ""&amp;$B124 = "FALSE"</formula>
    </cfRule>
  </conditionalFormatting>
  <pageMargins left="0.7" right="0.7" top="0.75" bottom="0.75" header="0.3" footer="0.3"/>
  <pageSetup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_Coverage">
    <tabColor rgb="FFFFFF00"/>
  </sheetPr>
  <dimension ref="A1:H100"/>
  <sheetViews>
    <sheetView workbookViewId="0"/>
  </sheetViews>
  <sheetFormatPr defaultRowHeight="15"/>
  <cols>
    <col min="1" max="1" width="19" bestFit="1" customWidth="1"/>
    <col min="2" max="2" width="30.28515625" bestFit="1" customWidth="1"/>
    <col min="3" max="3" width="13.5703125" bestFit="1" customWidth="1"/>
    <col min="4" max="4" width="15.140625" bestFit="1" customWidth="1"/>
    <col min="5" max="5" width="10.5703125" bestFit="1" customWidth="1"/>
    <col min="7" max="7" width="21.5703125" bestFit="1" customWidth="1"/>
  </cols>
  <sheetData>
    <row r="1" spans="1:8" ht="15.75" thickBot="1">
      <c r="A1" s="1" t="s">
        <v>0</v>
      </c>
      <c r="B1" s="1" t="s">
        <v>1</v>
      </c>
      <c r="C1" s="1" t="s">
        <v>72</v>
      </c>
      <c r="D1" s="1" t="s">
        <v>73</v>
      </c>
      <c r="E1" s="1" t="s">
        <v>74</v>
      </c>
    </row>
    <row r="2" spans="1:8">
      <c r="A2" t="s">
        <v>2</v>
      </c>
      <c r="B2" t="s">
        <v>3</v>
      </c>
      <c r="C2" s="38">
        <f xml:space="preserve"> COUNTIFS(Tests!$A:$A,[Function], Tests!$C:$C,"Direct")</f>
        <v>0</v>
      </c>
      <c r="D2" s="38">
        <f xml:space="preserve"> COUNTIFS(Tests!$A:$A,[Function], Tests!$C:$C,"Indirect")</f>
        <v>1</v>
      </c>
      <c r="E2" s="38" t="b">
        <f xml:space="preserve"> [Direct Tests] + [Indirect Tests] &gt; 0</f>
        <v>1</v>
      </c>
      <c r="G2" s="34" t="s">
        <v>75</v>
      </c>
      <c r="H2" s="35">
        <f xml:space="preserve"> COUNTIF(TblCoverage[Covered], TRUE)</f>
        <v>59</v>
      </c>
    </row>
    <row r="3" spans="1:8" ht="15.75" thickBot="1">
      <c r="A3" t="s">
        <v>2</v>
      </c>
      <c r="B3" t="s">
        <v>101</v>
      </c>
      <c r="C3" s="38">
        <f xml:space="preserve"> COUNTIFS(Tests!$A:$A,[Function], Tests!$C:$C,"Direct")</f>
        <v>1</v>
      </c>
      <c r="D3" s="38">
        <f xml:space="preserve"> COUNTIFS(Tests!$A:$A,[Function], Tests!$C:$C,"Indirect")</f>
        <v>0</v>
      </c>
      <c r="E3" s="38" t="b">
        <f xml:space="preserve"> [Direct Tests] + [Indirect Tests] &gt; 0</f>
        <v>1</v>
      </c>
      <c r="G3" s="36" t="s">
        <v>76</v>
      </c>
      <c r="H3" s="37">
        <f xml:space="preserve"> COUNTIF(TblCoverage[Covered], FALSE)</f>
        <v>40</v>
      </c>
    </row>
    <row r="4" spans="1:8">
      <c r="A4" t="s">
        <v>2</v>
      </c>
      <c r="B4" t="s">
        <v>4</v>
      </c>
      <c r="C4" s="38">
        <f xml:space="preserve"> COUNTIFS(Tests!$A:$A,[Function], Tests!$C:$C,"Direct")</f>
        <v>1</v>
      </c>
      <c r="D4" s="38">
        <f xml:space="preserve"> COUNTIFS(Tests!$A:$A,[Function], Tests!$C:$C,"Indirect")</f>
        <v>0</v>
      </c>
      <c r="E4" s="38" t="b">
        <f xml:space="preserve"> [Direct Tests] + [Indirect Tests] &gt; 0</f>
        <v>1</v>
      </c>
    </row>
    <row r="5" spans="1:8">
      <c r="A5" t="s">
        <v>2</v>
      </c>
      <c r="B5" t="s">
        <v>47</v>
      </c>
      <c r="C5" s="38">
        <f xml:space="preserve"> COUNTIFS(Tests!$A:$A,[Function], Tests!$C:$C,"Direct")</f>
        <v>0</v>
      </c>
      <c r="D5" s="38">
        <f xml:space="preserve"> COUNTIFS(Tests!$A:$A,[Function], Tests!$C:$C,"Indirect")</f>
        <v>1</v>
      </c>
      <c r="E5" s="38" t="b">
        <f xml:space="preserve"> [Direct Tests] + [Indirect Tests] &gt; 0</f>
        <v>1</v>
      </c>
    </row>
    <row r="6" spans="1:8">
      <c r="A6" t="s">
        <v>2</v>
      </c>
      <c r="B6" t="s">
        <v>48</v>
      </c>
      <c r="C6" s="38">
        <f xml:space="preserve"> COUNTIFS(Tests!$A:$A,[Function], Tests!$C:$C,"Direct")</f>
        <v>0</v>
      </c>
      <c r="D6" s="38">
        <f xml:space="preserve"> COUNTIFS(Tests!$A:$A,[Function], Tests!$C:$C,"Indirect")</f>
        <v>1</v>
      </c>
      <c r="E6" s="38" t="b">
        <f xml:space="preserve"> [Direct Tests] + [Indirect Tests] &gt; 0</f>
        <v>1</v>
      </c>
    </row>
    <row r="7" spans="1:8">
      <c r="A7" t="s">
        <v>2</v>
      </c>
      <c r="B7" t="s">
        <v>49</v>
      </c>
      <c r="C7" s="38">
        <f xml:space="preserve"> COUNTIFS(Tests!$A:$A,[Function], Tests!$C:$C,"Direct")</f>
        <v>1</v>
      </c>
      <c r="D7" s="38">
        <f xml:space="preserve"> COUNTIFS(Tests!$A:$A,[Function], Tests!$C:$C,"Indirect")</f>
        <v>0</v>
      </c>
      <c r="E7" s="38" t="b">
        <f xml:space="preserve"> [Direct Tests] + [Indirect Tests] &gt; 0</f>
        <v>1</v>
      </c>
    </row>
    <row r="8" spans="1:8">
      <c r="A8" t="s">
        <v>2</v>
      </c>
      <c r="B8" t="s">
        <v>328</v>
      </c>
      <c r="C8" s="38">
        <f xml:space="preserve"> COUNTIFS(Tests!$A:$A,[Function], Tests!$C:$C,"Direct")</f>
        <v>0</v>
      </c>
      <c r="D8" s="38">
        <f xml:space="preserve"> COUNTIFS(Tests!$A:$A,[Function], Tests!$C:$C,"Indirect")</f>
        <v>0</v>
      </c>
      <c r="E8" s="38" t="b">
        <f xml:space="preserve"> [Direct Tests] + [Indirect Tests] &gt; 0</f>
        <v>0</v>
      </c>
    </row>
    <row r="9" spans="1:8">
      <c r="A9" t="s">
        <v>295</v>
      </c>
      <c r="B9" t="s">
        <v>296</v>
      </c>
      <c r="C9" s="38">
        <f xml:space="preserve"> COUNTIFS(Tests!$A:$A,[Function], Tests!$C:$C,"Direct")</f>
        <v>1</v>
      </c>
      <c r="D9" s="38">
        <f xml:space="preserve"> COUNTIFS(Tests!$A:$A,[Function], Tests!$C:$C,"Indirect")</f>
        <v>0</v>
      </c>
      <c r="E9" s="38" t="b">
        <f xml:space="preserve"> [Direct Tests] + [Indirect Tests] &gt; 0</f>
        <v>1</v>
      </c>
    </row>
    <row r="10" spans="1:8">
      <c r="A10" t="s">
        <v>295</v>
      </c>
      <c r="B10" t="s">
        <v>297</v>
      </c>
      <c r="C10" s="38">
        <f xml:space="preserve"> COUNTIFS(Tests!$A:$A,[Function], Tests!$C:$C,"Direct")</f>
        <v>1</v>
      </c>
      <c r="D10" s="38">
        <f xml:space="preserve"> COUNTIFS(Tests!$A:$A,[Function], Tests!$C:$C,"Indirect")</f>
        <v>0</v>
      </c>
      <c r="E10" s="38" t="b">
        <f xml:space="preserve"> [Direct Tests] + [Indirect Tests] &gt; 0</f>
        <v>1</v>
      </c>
    </row>
    <row r="11" spans="1:8">
      <c r="A11" t="s">
        <v>295</v>
      </c>
      <c r="B11" t="s">
        <v>298</v>
      </c>
      <c r="C11" s="38">
        <f xml:space="preserve"> COUNTIFS(Tests!$A:$A,[Function], Tests!$C:$C,"Direct")</f>
        <v>0</v>
      </c>
      <c r="D11" s="38">
        <f xml:space="preserve"> COUNTIFS(Tests!$A:$A,[Function], Tests!$C:$C,"Indirect")</f>
        <v>1</v>
      </c>
      <c r="E11" s="38" t="b">
        <f xml:space="preserve"> [Direct Tests] + [Indirect Tests] &gt; 0</f>
        <v>1</v>
      </c>
    </row>
    <row r="12" spans="1:8">
      <c r="A12" t="s">
        <v>295</v>
      </c>
      <c r="B12" t="s">
        <v>299</v>
      </c>
      <c r="C12" s="38">
        <f xml:space="preserve"> COUNTIFS(Tests!$A:$A,[Function], Tests!$C:$C,"Direct")</f>
        <v>1</v>
      </c>
      <c r="D12" s="38">
        <f xml:space="preserve"> COUNTIFS(Tests!$A:$A,[Function], Tests!$C:$C,"Indirect")</f>
        <v>0</v>
      </c>
      <c r="E12" s="38" t="b">
        <f xml:space="preserve"> [Direct Tests] + [Indirect Tests] &gt; 0</f>
        <v>1</v>
      </c>
    </row>
    <row r="13" spans="1:8">
      <c r="A13" t="s">
        <v>295</v>
      </c>
      <c r="B13" t="s">
        <v>302</v>
      </c>
      <c r="C13" s="38">
        <f xml:space="preserve"> COUNTIFS(Tests!$A:$A,[Function], Tests!$C:$C,"Direct")</f>
        <v>1</v>
      </c>
      <c r="D13" s="38">
        <f xml:space="preserve"> COUNTIFS(Tests!$A:$A,[Function], Tests!$C:$C,"Indirect")</f>
        <v>0</v>
      </c>
      <c r="E13" s="38" t="b">
        <f xml:space="preserve"> [Direct Tests] + [Indirect Tests] &gt; 0</f>
        <v>1</v>
      </c>
    </row>
    <row r="14" spans="1:8">
      <c r="A14" t="s">
        <v>295</v>
      </c>
      <c r="B14" t="s">
        <v>300</v>
      </c>
      <c r="C14" s="38">
        <f xml:space="preserve"> COUNTIFS(Tests!$A:$A,[Function], Tests!$C:$C,"Direct")</f>
        <v>1</v>
      </c>
      <c r="D14" s="38">
        <f xml:space="preserve"> COUNTIFS(Tests!$A:$A,[Function], Tests!$C:$C,"Indirect")</f>
        <v>0</v>
      </c>
      <c r="E14" s="38" t="b">
        <f xml:space="preserve"> [Direct Tests] + [Indirect Tests] &gt; 0</f>
        <v>1</v>
      </c>
    </row>
    <row r="15" spans="1:8">
      <c r="A15" t="s">
        <v>295</v>
      </c>
      <c r="B15" t="s">
        <v>301</v>
      </c>
      <c r="C15" s="38">
        <f xml:space="preserve"> COUNTIFS(Tests!$A:$A,[Function], Tests!$C:$C,"Direct")</f>
        <v>1</v>
      </c>
      <c r="D15" s="38">
        <f xml:space="preserve"> COUNTIFS(Tests!$A:$A,[Function], Tests!$C:$C,"Indirect")</f>
        <v>0</v>
      </c>
      <c r="E15" s="38" t="b">
        <f xml:space="preserve"> [Direct Tests] + [Indirect Tests] &gt; 0</f>
        <v>1</v>
      </c>
    </row>
    <row r="16" spans="1:8">
      <c r="A16" t="s">
        <v>377</v>
      </c>
      <c r="B16" t="s">
        <v>378</v>
      </c>
      <c r="C16" s="38">
        <f xml:space="preserve"> COUNTIFS(Tests!$A:$A,[Function], Tests!$C:$C,"Direct")</f>
        <v>1</v>
      </c>
      <c r="D16" s="38">
        <f xml:space="preserve"> COUNTIFS(Tests!$A:$A,[Function], Tests!$C:$C,"Indirect")</f>
        <v>0</v>
      </c>
      <c r="E16" s="38" t="b">
        <f xml:space="preserve"> [Direct Tests] + [Indirect Tests] &gt; 0</f>
        <v>1</v>
      </c>
    </row>
    <row r="17" spans="1:5">
      <c r="A17" t="s">
        <v>377</v>
      </c>
      <c r="B17" t="s">
        <v>379</v>
      </c>
      <c r="C17" s="38">
        <f xml:space="preserve"> COUNTIFS(Tests!$A:$A,[Function], Tests!$C:$C,"Direct")</f>
        <v>1</v>
      </c>
      <c r="D17" s="38">
        <f xml:space="preserve"> COUNTIFS(Tests!$A:$A,[Function], Tests!$C:$C,"Indirect")</f>
        <v>0</v>
      </c>
      <c r="E17" s="38" t="b">
        <f xml:space="preserve"> [Direct Tests] + [Indirect Tests] &gt; 0</f>
        <v>1</v>
      </c>
    </row>
    <row r="18" spans="1:5">
      <c r="A18" t="s">
        <v>377</v>
      </c>
      <c r="B18" t="s">
        <v>380</v>
      </c>
      <c r="C18" s="38">
        <f xml:space="preserve"> COUNTIFS(Tests!$A:$A,[Function], Tests!$C:$C,"Direct")</f>
        <v>0</v>
      </c>
      <c r="D18" s="38">
        <f xml:space="preserve"> COUNTIFS(Tests!$A:$A,[Function], Tests!$C:$C,"Indirect")</f>
        <v>1</v>
      </c>
      <c r="E18" s="38" t="b">
        <f xml:space="preserve"> [Direct Tests] + [Indirect Tests] &gt; 0</f>
        <v>1</v>
      </c>
    </row>
    <row r="19" spans="1:5">
      <c r="A19" t="s">
        <v>377</v>
      </c>
      <c r="B19" t="s">
        <v>451</v>
      </c>
      <c r="C19" s="38">
        <f xml:space="preserve"> COUNTIFS(Tests!$A:$A,[Function], Tests!$C:$C,"Direct")</f>
        <v>1</v>
      </c>
      <c r="D19" s="38">
        <f xml:space="preserve"> COUNTIFS(Tests!$A:$A,[Function], Tests!$C:$C,"Indirect")</f>
        <v>0</v>
      </c>
      <c r="E19" s="38" t="b">
        <f xml:space="preserve"> [Direct Tests] + [Indirect Tests] &gt; 0</f>
        <v>1</v>
      </c>
    </row>
    <row r="20" spans="1:5">
      <c r="A20" t="s">
        <v>377</v>
      </c>
      <c r="B20" t="s">
        <v>452</v>
      </c>
      <c r="C20" s="38">
        <f xml:space="preserve"> COUNTIFS(Tests!$A:$A,[Function], Tests!$C:$C,"Direct")</f>
        <v>1</v>
      </c>
      <c r="D20" s="38">
        <f xml:space="preserve"> COUNTIFS(Tests!$A:$A,[Function], Tests!$C:$C,"Indirect")</f>
        <v>0</v>
      </c>
      <c r="E20" s="38" t="b">
        <f xml:space="preserve"> [Direct Tests] + [Indirect Tests] &gt; 0</f>
        <v>1</v>
      </c>
    </row>
    <row r="21" spans="1:5">
      <c r="A21" t="s">
        <v>377</v>
      </c>
      <c r="B21" t="s">
        <v>453</v>
      </c>
      <c r="C21" s="38">
        <f xml:space="preserve"> COUNTIFS(Tests!$A:$A,[Function], Tests!$C:$C,"Direct")</f>
        <v>0</v>
      </c>
      <c r="D21" s="38">
        <f xml:space="preserve"> COUNTIFS(Tests!$A:$A,[Function], Tests!$C:$C,"Indirect")</f>
        <v>1</v>
      </c>
      <c r="E21" s="38" t="b">
        <f xml:space="preserve"> [Direct Tests] + [Indirect Tests] &gt; 0</f>
        <v>1</v>
      </c>
    </row>
    <row r="22" spans="1:5">
      <c r="A22" t="s">
        <v>377</v>
      </c>
      <c r="B22" t="s">
        <v>381</v>
      </c>
      <c r="C22" s="38">
        <f xml:space="preserve"> COUNTIFS(Tests!$A:$A,[Function], Tests!$C:$C,"Direct")</f>
        <v>0</v>
      </c>
      <c r="D22" s="38">
        <f xml:space="preserve"> COUNTIFS(Tests!$A:$A,[Function], Tests!$C:$C,"Indirect")</f>
        <v>1</v>
      </c>
      <c r="E22" s="38" t="b">
        <f xml:space="preserve"> [Direct Tests] + [Indirect Tests] &gt; 0</f>
        <v>1</v>
      </c>
    </row>
    <row r="23" spans="1:5">
      <c r="A23" t="s">
        <v>377</v>
      </c>
      <c r="B23" t="s">
        <v>382</v>
      </c>
      <c r="C23" s="38">
        <f xml:space="preserve"> COUNTIFS(Tests!$A:$A,[Function], Tests!$C:$C,"Direct")</f>
        <v>1</v>
      </c>
      <c r="D23" s="38">
        <f xml:space="preserve"> COUNTIFS(Tests!$A:$A,[Function], Tests!$C:$C,"Indirect")</f>
        <v>0</v>
      </c>
      <c r="E23" s="38" t="b">
        <f xml:space="preserve"> [Direct Tests] + [Indirect Tests] &gt; 0</f>
        <v>1</v>
      </c>
    </row>
    <row r="24" spans="1:5">
      <c r="A24" t="s">
        <v>377</v>
      </c>
      <c r="B24" t="s">
        <v>435</v>
      </c>
      <c r="C24" s="38">
        <f xml:space="preserve"> COUNTIFS(Tests!$A:$A,[Function], Tests!$C:$C,"Direct")</f>
        <v>1</v>
      </c>
      <c r="D24" s="38">
        <f xml:space="preserve"> COUNTIFS(Tests!$A:$A,[Function], Tests!$C:$C,"Indirect")</f>
        <v>0</v>
      </c>
      <c r="E24" s="38" t="b">
        <f xml:space="preserve"> [Direct Tests] + [Indirect Tests] &gt; 0</f>
        <v>1</v>
      </c>
    </row>
    <row r="25" spans="1:5">
      <c r="A25" t="s">
        <v>377</v>
      </c>
      <c r="B25" t="s">
        <v>454</v>
      </c>
      <c r="C25" s="38">
        <f xml:space="preserve"> COUNTIFS(Tests!$A:$A,[Function], Tests!$C:$C,"Direct")</f>
        <v>1</v>
      </c>
      <c r="D25" s="38">
        <f xml:space="preserve"> COUNTIFS(Tests!$A:$A,[Function], Tests!$C:$C,"Indirect")</f>
        <v>0</v>
      </c>
      <c r="E25" s="38" t="b">
        <f xml:space="preserve"> [Direct Tests] + [Indirect Tests] &gt; 0</f>
        <v>1</v>
      </c>
    </row>
    <row r="26" spans="1:5">
      <c r="A26" t="s">
        <v>377</v>
      </c>
      <c r="B26" t="s">
        <v>383</v>
      </c>
      <c r="C26" s="38">
        <f xml:space="preserve"> COUNTIFS(Tests!$A:$A,[Function], Tests!$C:$C,"Direct")</f>
        <v>1</v>
      </c>
      <c r="D26" s="38">
        <f xml:space="preserve"> COUNTIFS(Tests!$A:$A,[Function], Tests!$C:$C,"Indirect")</f>
        <v>0</v>
      </c>
      <c r="E26" s="38" t="b">
        <f xml:space="preserve"> [Direct Tests] + [Indirect Tests] &gt; 0</f>
        <v>1</v>
      </c>
    </row>
    <row r="27" spans="1:5">
      <c r="A27" t="s">
        <v>377</v>
      </c>
      <c r="B27" t="s">
        <v>441</v>
      </c>
      <c r="C27" s="38">
        <f xml:space="preserve"> COUNTIFS(Tests!$A:$A,[Function], Tests!$C:$C,"Direct")</f>
        <v>1</v>
      </c>
      <c r="D27" s="38">
        <f xml:space="preserve"> COUNTIFS(Tests!$A:$A,[Function], Tests!$C:$C,"Indirect")</f>
        <v>0</v>
      </c>
      <c r="E27" s="38" t="b">
        <f xml:space="preserve"> [Direct Tests] + [Indirect Tests] &gt; 0</f>
        <v>1</v>
      </c>
    </row>
    <row r="28" spans="1:5">
      <c r="A28" t="s">
        <v>377</v>
      </c>
      <c r="B28" t="s">
        <v>450</v>
      </c>
      <c r="C28" s="38">
        <f xml:space="preserve"> COUNTIFS(Tests!$A:$A,[Function], Tests!$C:$C,"Direct")</f>
        <v>0</v>
      </c>
      <c r="D28" s="38">
        <f xml:space="preserve"> COUNTIFS(Tests!$A:$A,[Function], Tests!$C:$C,"Indirect")</f>
        <v>1</v>
      </c>
      <c r="E28" s="38" t="b">
        <f xml:space="preserve"> [Direct Tests] + [Indirect Tests] &gt; 0</f>
        <v>1</v>
      </c>
    </row>
    <row r="29" spans="1:5">
      <c r="A29" t="s">
        <v>377</v>
      </c>
      <c r="B29" t="s">
        <v>492</v>
      </c>
      <c r="C29" s="38">
        <f xml:space="preserve"> COUNTIFS(Tests!$A:$A,[Function], Tests!$C:$C,"Direct")</f>
        <v>1</v>
      </c>
      <c r="D29" s="38">
        <f xml:space="preserve"> COUNTIFS(Tests!$A:$A,[Function], Tests!$C:$C,"Indirect")</f>
        <v>0</v>
      </c>
      <c r="E29" s="38" t="b">
        <f xml:space="preserve"> [Direct Tests] + [Indirect Tests] &gt; 0</f>
        <v>1</v>
      </c>
    </row>
    <row r="30" spans="1:5">
      <c r="A30" t="s">
        <v>7</v>
      </c>
      <c r="B30" t="s">
        <v>8</v>
      </c>
      <c r="C30" s="38">
        <f xml:space="preserve"> COUNTIFS(Tests!$A:$A,[Function], Tests!$C:$C,"Direct")</f>
        <v>1</v>
      </c>
      <c r="D30" s="38">
        <f xml:space="preserve"> COUNTIFS(Tests!$A:$A,[Function], Tests!$C:$C,"Indirect")</f>
        <v>0</v>
      </c>
      <c r="E30" s="38" t="b">
        <f xml:space="preserve"> [Direct Tests] + [Indirect Tests] &gt; 0</f>
        <v>1</v>
      </c>
    </row>
    <row r="31" spans="1:5">
      <c r="A31" t="s">
        <v>7</v>
      </c>
      <c r="B31" t="s">
        <v>9</v>
      </c>
      <c r="C31" s="38">
        <f xml:space="preserve"> COUNTIFS(Tests!$A:$A,[Function], Tests!$C:$C,"Direct")</f>
        <v>1</v>
      </c>
      <c r="D31" s="38">
        <f xml:space="preserve"> COUNTIFS(Tests!$A:$A,[Function], Tests!$C:$C,"Indirect")</f>
        <v>0</v>
      </c>
      <c r="E31" s="38" t="b">
        <f xml:space="preserve"> [Direct Tests] + [Indirect Tests] &gt; 0</f>
        <v>1</v>
      </c>
    </row>
    <row r="32" spans="1:5">
      <c r="A32" t="s">
        <v>7</v>
      </c>
      <c r="B32" t="s">
        <v>219</v>
      </c>
      <c r="C32" s="38">
        <f xml:space="preserve"> COUNTIFS(Tests!$A:$A,[Function], Tests!$C:$C,"Direct")</f>
        <v>1</v>
      </c>
      <c r="D32" s="38">
        <f xml:space="preserve"> COUNTIFS(Tests!$A:$A,[Function], Tests!$C:$C,"Indirect")</f>
        <v>0</v>
      </c>
      <c r="E32" s="38" t="b">
        <f xml:space="preserve"> [Direct Tests] + [Indirect Tests] &gt; 0</f>
        <v>1</v>
      </c>
    </row>
    <row r="33" spans="1:5">
      <c r="A33" t="s">
        <v>7</v>
      </c>
      <c r="B33" t="s">
        <v>85</v>
      </c>
      <c r="C33" s="38">
        <f xml:space="preserve"> COUNTIFS(Tests!$A:$A,[Function], Tests!$C:$C,"Direct")</f>
        <v>1</v>
      </c>
      <c r="D33" s="38">
        <f xml:space="preserve"> COUNTIFS(Tests!$A:$A,[Function], Tests!$C:$C,"Indirect")</f>
        <v>0</v>
      </c>
      <c r="E33" s="38" t="b">
        <f xml:space="preserve"> [Direct Tests] + [Indirect Tests] &gt; 0</f>
        <v>1</v>
      </c>
    </row>
    <row r="34" spans="1:5">
      <c r="A34" t="s">
        <v>7</v>
      </c>
      <c r="B34" t="s">
        <v>86</v>
      </c>
      <c r="C34" s="38">
        <f xml:space="preserve"> COUNTIFS(Tests!$A:$A,[Function], Tests!$C:$C,"Direct")</f>
        <v>1</v>
      </c>
      <c r="D34" s="38">
        <f xml:space="preserve"> COUNTIFS(Tests!$A:$A,[Function], Tests!$C:$C,"Indirect")</f>
        <v>0</v>
      </c>
      <c r="E34" s="38" t="b">
        <f xml:space="preserve"> [Direct Tests] + [Indirect Tests] &gt; 0</f>
        <v>1</v>
      </c>
    </row>
    <row r="35" spans="1:5">
      <c r="A35" t="s">
        <v>7</v>
      </c>
      <c r="B35" t="s">
        <v>87</v>
      </c>
      <c r="C35" s="38">
        <f xml:space="preserve"> COUNTIFS(Tests!$A:$A,[Function], Tests!$C:$C,"Direct")</f>
        <v>1</v>
      </c>
      <c r="D35" s="38">
        <f xml:space="preserve"> COUNTIFS(Tests!$A:$A,[Function], Tests!$C:$C,"Indirect")</f>
        <v>0</v>
      </c>
      <c r="E35" s="38" t="b">
        <f xml:space="preserve"> [Direct Tests] + [Indirect Tests] &gt; 0</f>
        <v>1</v>
      </c>
    </row>
    <row r="36" spans="1:5">
      <c r="A36" t="s">
        <v>7</v>
      </c>
      <c r="B36" t="s">
        <v>88</v>
      </c>
      <c r="C36" s="38">
        <f xml:space="preserve"> COUNTIFS(Tests!$A:$A,[Function], Tests!$C:$C,"Direct")</f>
        <v>1</v>
      </c>
      <c r="D36" s="38">
        <f xml:space="preserve"> COUNTIFS(Tests!$A:$A,[Function], Tests!$C:$C,"Indirect")</f>
        <v>0</v>
      </c>
      <c r="E36" s="38" t="b">
        <f xml:space="preserve"> [Direct Tests] + [Indirect Tests] &gt; 0</f>
        <v>1</v>
      </c>
    </row>
    <row r="37" spans="1:5">
      <c r="A37" t="s">
        <v>7</v>
      </c>
      <c r="B37" t="s">
        <v>329</v>
      </c>
      <c r="C37" s="38">
        <f xml:space="preserve"> COUNTIFS(Tests!$A:$A,[Function], Tests!$C:$C,"Direct")</f>
        <v>0</v>
      </c>
      <c r="D37" s="38">
        <f xml:space="preserve"> COUNTIFS(Tests!$A:$A,[Function], Tests!$C:$C,"Indirect")</f>
        <v>0</v>
      </c>
      <c r="E37" s="38" t="b">
        <f xml:space="preserve"> [Direct Tests] + [Indirect Tests] &gt; 0</f>
        <v>0</v>
      </c>
    </row>
    <row r="38" spans="1:5">
      <c r="A38" t="s">
        <v>7</v>
      </c>
      <c r="B38" t="s">
        <v>10</v>
      </c>
      <c r="C38" s="38">
        <f xml:space="preserve"> COUNTIFS(Tests!$A:$A,[Function], Tests!$C:$C,"Direct")</f>
        <v>1</v>
      </c>
      <c r="D38" s="38">
        <f xml:space="preserve"> COUNTIFS(Tests!$A:$A,[Function], Tests!$C:$C,"Indirect")</f>
        <v>0</v>
      </c>
      <c r="E38" s="38" t="b">
        <f xml:space="preserve"> [Direct Tests] + [Indirect Tests] &gt; 0</f>
        <v>1</v>
      </c>
    </row>
    <row r="39" spans="1:5">
      <c r="A39" t="s">
        <v>7</v>
      </c>
      <c r="B39" t="s">
        <v>11</v>
      </c>
      <c r="C39" s="38">
        <f xml:space="preserve"> COUNTIFS(Tests!$A:$A,[Function], Tests!$C:$C,"Direct")</f>
        <v>1</v>
      </c>
      <c r="D39" s="38">
        <f xml:space="preserve"> COUNTIFS(Tests!$A:$A,[Function], Tests!$C:$C,"Indirect")</f>
        <v>0</v>
      </c>
      <c r="E39" s="38" t="b">
        <f xml:space="preserve"> [Direct Tests] + [Indirect Tests] &gt; 0</f>
        <v>1</v>
      </c>
    </row>
    <row r="40" spans="1:5">
      <c r="A40" t="s">
        <v>7</v>
      </c>
      <c r="B40" t="s">
        <v>12</v>
      </c>
      <c r="C40" s="38">
        <f xml:space="preserve"> COUNTIFS(Tests!$A:$A,[Function], Tests!$C:$C,"Direct")</f>
        <v>1</v>
      </c>
      <c r="D40" s="38">
        <f xml:space="preserve"> COUNTIFS(Tests!$A:$A,[Function], Tests!$C:$C,"Indirect")</f>
        <v>0</v>
      </c>
      <c r="E40" s="38" t="b">
        <f xml:space="preserve"> [Direct Tests] + [Indirect Tests] &gt; 0</f>
        <v>1</v>
      </c>
    </row>
    <row r="41" spans="1:5">
      <c r="A41" t="s">
        <v>7</v>
      </c>
      <c r="B41" t="s">
        <v>13</v>
      </c>
      <c r="C41" s="38">
        <f xml:space="preserve"> COUNTIFS(Tests!$A:$A,[Function], Tests!$C:$C,"Direct")</f>
        <v>1</v>
      </c>
      <c r="D41" s="38">
        <f xml:space="preserve"> COUNTIFS(Tests!$A:$A,[Function], Tests!$C:$C,"Indirect")</f>
        <v>1</v>
      </c>
      <c r="E41" s="38" t="b">
        <f xml:space="preserve"> [Direct Tests] + [Indirect Tests] &gt; 0</f>
        <v>1</v>
      </c>
    </row>
    <row r="42" spans="1:5">
      <c r="A42" t="s">
        <v>7</v>
      </c>
      <c r="B42" t="s">
        <v>14</v>
      </c>
      <c r="C42" s="38">
        <f xml:space="preserve"> COUNTIFS(Tests!$A:$A,[Function], Tests!$C:$C,"Direct")</f>
        <v>1</v>
      </c>
      <c r="D42" s="38">
        <f xml:space="preserve"> COUNTIFS(Tests!$A:$A,[Function], Tests!$C:$C,"Indirect")</f>
        <v>0</v>
      </c>
      <c r="E42" s="38" t="b">
        <f xml:space="preserve"> [Direct Tests] + [Indirect Tests] &gt; 0</f>
        <v>1</v>
      </c>
    </row>
    <row r="43" spans="1:5">
      <c r="A43" t="s">
        <v>7</v>
      </c>
      <c r="B43" t="s">
        <v>335</v>
      </c>
      <c r="C43" s="38">
        <f xml:space="preserve"> COUNTIFS(Tests!$A:$A,[Function], Tests!$C:$C,"Direct")</f>
        <v>0</v>
      </c>
      <c r="D43" s="38">
        <f xml:space="preserve"> COUNTIFS(Tests!$A:$A,[Function], Tests!$C:$C,"Indirect")</f>
        <v>0</v>
      </c>
      <c r="E43" s="38" t="b">
        <f xml:space="preserve"> [Direct Tests] + [Indirect Tests] &gt; 0</f>
        <v>0</v>
      </c>
    </row>
    <row r="44" spans="1:5">
      <c r="A44" t="s">
        <v>7</v>
      </c>
      <c r="B44" t="s">
        <v>89</v>
      </c>
      <c r="C44" s="38">
        <f xml:space="preserve"> COUNTIFS(Tests!$A:$A,[Function], Tests!$C:$C,"Direct")</f>
        <v>1</v>
      </c>
      <c r="D44" s="38">
        <f xml:space="preserve"> COUNTIFS(Tests!$A:$A,[Function], Tests!$C:$C,"Indirect")</f>
        <v>0</v>
      </c>
      <c r="E44" s="38" t="b">
        <f xml:space="preserve"> [Direct Tests] + [Indirect Tests] &gt; 0</f>
        <v>1</v>
      </c>
    </row>
    <row r="45" spans="1:5">
      <c r="A45" t="s">
        <v>7</v>
      </c>
      <c r="B45" t="s">
        <v>90</v>
      </c>
      <c r="C45" s="38">
        <f xml:space="preserve"> COUNTIFS(Tests!$A:$A,[Function], Tests!$C:$C,"Direct")</f>
        <v>1</v>
      </c>
      <c r="D45" s="38">
        <f xml:space="preserve"> COUNTIFS(Tests!$A:$A,[Function], Tests!$C:$C,"Indirect")</f>
        <v>0</v>
      </c>
      <c r="E45" s="38" t="b">
        <f xml:space="preserve"> [Direct Tests] + [Indirect Tests] &gt; 0</f>
        <v>1</v>
      </c>
    </row>
    <row r="46" spans="1:5">
      <c r="A46" t="s">
        <v>7</v>
      </c>
      <c r="B46" t="s">
        <v>100</v>
      </c>
      <c r="C46" s="38">
        <f xml:space="preserve"> COUNTIFS(Tests!$A:$A,[Function], Tests!$C:$C,"Direct")</f>
        <v>1</v>
      </c>
      <c r="D46" s="38">
        <f xml:space="preserve"> COUNTIFS(Tests!$A:$A,[Function], Tests!$C:$C,"Indirect")</f>
        <v>0</v>
      </c>
      <c r="E46" s="38" t="b">
        <f xml:space="preserve"> [Direct Tests] + [Indirect Tests] &gt; 0</f>
        <v>1</v>
      </c>
    </row>
    <row r="47" spans="1:5">
      <c r="A47" t="s">
        <v>7</v>
      </c>
      <c r="B47" t="s">
        <v>292</v>
      </c>
      <c r="C47" s="38">
        <f xml:space="preserve"> COUNTIFS(Tests!$A:$A,[Function], Tests!$C:$C,"Direct")</f>
        <v>1</v>
      </c>
      <c r="D47" s="38">
        <f xml:space="preserve"> COUNTIFS(Tests!$A:$A,[Function], Tests!$C:$C,"Indirect")</f>
        <v>0</v>
      </c>
      <c r="E47" s="38" t="b">
        <f xml:space="preserve"> [Direct Tests] + [Indirect Tests] &gt; 0</f>
        <v>1</v>
      </c>
    </row>
    <row r="48" spans="1:5">
      <c r="A48" t="s">
        <v>7</v>
      </c>
      <c r="B48" t="s">
        <v>293</v>
      </c>
      <c r="C48" s="38">
        <f xml:space="preserve"> COUNTIFS(Tests!$A:$A,[Function], Tests!$C:$C,"Direct")</f>
        <v>1</v>
      </c>
      <c r="D48" s="38">
        <f xml:space="preserve"> COUNTIFS(Tests!$A:$A,[Function], Tests!$C:$C,"Indirect")</f>
        <v>0</v>
      </c>
      <c r="E48" s="38" t="b">
        <f xml:space="preserve"> [Direct Tests] + [Indirect Tests] &gt; 0</f>
        <v>1</v>
      </c>
    </row>
    <row r="49" spans="1:5">
      <c r="A49" t="s">
        <v>7</v>
      </c>
      <c r="B49" t="s">
        <v>294</v>
      </c>
      <c r="C49" s="38">
        <f xml:space="preserve"> COUNTIFS(Tests!$A:$A,[Function], Tests!$C:$C,"Direct")</f>
        <v>1</v>
      </c>
      <c r="D49" s="38">
        <f xml:space="preserve"> COUNTIFS(Tests!$A:$A,[Function], Tests!$C:$C,"Indirect")</f>
        <v>0</v>
      </c>
      <c r="E49" s="38" t="b">
        <f xml:space="preserve"> [Direct Tests] + [Indirect Tests] &gt; 0</f>
        <v>1</v>
      </c>
    </row>
    <row r="50" spans="1:5">
      <c r="A50" t="s">
        <v>7</v>
      </c>
      <c r="B50" t="s">
        <v>336</v>
      </c>
      <c r="C50" s="38">
        <f xml:space="preserve"> COUNTIFS(Tests!$A:$A,[Function], Tests!$C:$C,"Direct")</f>
        <v>0</v>
      </c>
      <c r="D50" s="38">
        <f xml:space="preserve"> COUNTIFS(Tests!$A:$A,[Function], Tests!$C:$C,"Indirect")</f>
        <v>0</v>
      </c>
      <c r="E50" s="38" t="b">
        <f xml:space="preserve"> [Direct Tests] + [Indirect Tests] &gt; 0</f>
        <v>0</v>
      </c>
    </row>
    <row r="51" spans="1:5">
      <c r="A51" t="s">
        <v>7</v>
      </c>
      <c r="B51" t="s">
        <v>376</v>
      </c>
      <c r="C51" s="38">
        <f xml:space="preserve"> COUNTIFS(Tests!$A:$A,[Function], Tests!$C:$C,"Direct")</f>
        <v>0</v>
      </c>
      <c r="D51" s="38">
        <f xml:space="preserve"> COUNTIFS(Tests!$A:$A,[Function], Tests!$C:$C,"Indirect")</f>
        <v>1</v>
      </c>
      <c r="E51" s="38" t="b">
        <f xml:space="preserve"> [Direct Tests] + [Indirect Tests] &gt; 0</f>
        <v>1</v>
      </c>
    </row>
    <row r="52" spans="1:5">
      <c r="A52" t="s">
        <v>7</v>
      </c>
      <c r="B52" t="s">
        <v>496</v>
      </c>
      <c r="C52" s="38">
        <f xml:space="preserve"> COUNTIFS(Tests!$A:$A,[Function], Tests!$C:$C,"Direct")</f>
        <v>0</v>
      </c>
      <c r="D52" s="38">
        <f xml:space="preserve"> COUNTIFS(Tests!$A:$A,[Function], Tests!$C:$C,"Indirect")</f>
        <v>0</v>
      </c>
      <c r="E52" s="38" t="b">
        <f xml:space="preserve"> [Direct Tests] + [Indirect Tests] &gt; 0</f>
        <v>0</v>
      </c>
    </row>
    <row r="53" spans="1:5">
      <c r="A53" t="s">
        <v>7</v>
      </c>
      <c r="B53" t="s">
        <v>497</v>
      </c>
      <c r="C53" s="38">
        <f xml:space="preserve"> COUNTIFS(Tests!$A:$A,[Function], Tests!$C:$C,"Direct")</f>
        <v>0</v>
      </c>
      <c r="D53" s="38">
        <f xml:space="preserve"> COUNTIFS(Tests!$A:$A,[Function], Tests!$C:$C,"Indirect")</f>
        <v>0</v>
      </c>
      <c r="E53" s="38" t="b">
        <f xml:space="preserve"> [Direct Tests] + [Indirect Tests] &gt; 0</f>
        <v>0</v>
      </c>
    </row>
    <row r="54" spans="1:5">
      <c r="A54" t="s">
        <v>7</v>
      </c>
      <c r="B54" t="s">
        <v>499</v>
      </c>
      <c r="C54" s="38">
        <f xml:space="preserve"> COUNTIFS(Tests!$A:$A,[Function], Tests!$C:$C,"Direct")</f>
        <v>0</v>
      </c>
      <c r="D54" s="38">
        <f xml:space="preserve"> COUNTIFS(Tests!$A:$A,[Function], Tests!$C:$C,"Indirect")</f>
        <v>0</v>
      </c>
      <c r="E54" s="38" t="b">
        <f xml:space="preserve"> [Direct Tests] + [Indirect Tests] &gt; 0</f>
        <v>0</v>
      </c>
    </row>
    <row r="55" spans="1:5">
      <c r="A55" t="s">
        <v>500</v>
      </c>
      <c r="B55" t="s">
        <v>501</v>
      </c>
      <c r="C55" s="38">
        <f xml:space="preserve"> COUNTIFS(Tests!$A:$A,[Function], Tests!$C:$C,"Direct")</f>
        <v>0</v>
      </c>
      <c r="D55" s="38">
        <f xml:space="preserve"> COUNTIFS(Tests!$A:$A,[Function], Tests!$C:$C,"Indirect")</f>
        <v>0</v>
      </c>
      <c r="E55" s="38" t="b">
        <f xml:space="preserve"> [Direct Tests] + [Indirect Tests] &gt; 0</f>
        <v>0</v>
      </c>
    </row>
    <row r="56" spans="1:5">
      <c r="A56" t="s">
        <v>500</v>
      </c>
      <c r="B56" t="s">
        <v>502</v>
      </c>
      <c r="C56" s="38">
        <f xml:space="preserve"> COUNTIFS(Tests!$A:$A,[Function], Tests!$C:$C,"Direct")</f>
        <v>0</v>
      </c>
      <c r="D56" s="38">
        <f xml:space="preserve"> COUNTIFS(Tests!$A:$A,[Function], Tests!$C:$C,"Indirect")</f>
        <v>0</v>
      </c>
      <c r="E56" s="38" t="b">
        <f xml:space="preserve"> [Direct Tests] + [Indirect Tests] &gt; 0</f>
        <v>0</v>
      </c>
    </row>
    <row r="57" spans="1:5">
      <c r="A57" s="14" t="s">
        <v>15</v>
      </c>
      <c r="B57" s="14" t="s">
        <v>17</v>
      </c>
      <c r="C57" s="39">
        <f xml:space="preserve"> COUNTIFS(Tests!$A:$A,[Function], Tests!$C:$C,"Direct")</f>
        <v>0</v>
      </c>
      <c r="D57" s="39">
        <f xml:space="preserve"> COUNTIFS(Tests!$A:$A,[Function], Tests!$C:$C,"Indirect")</f>
        <v>0</v>
      </c>
      <c r="E57" s="39" t="b">
        <f xml:space="preserve"> [Direct Tests] + [Indirect Tests] &gt; 0</f>
        <v>0</v>
      </c>
    </row>
    <row r="58" spans="1:5">
      <c r="A58" s="14" t="s">
        <v>15</v>
      </c>
      <c r="B58" s="14" t="s">
        <v>16</v>
      </c>
      <c r="C58" s="39">
        <f xml:space="preserve"> COUNTIFS(Tests!$A:$A,[Function], Tests!$C:$C,"Direct")</f>
        <v>0</v>
      </c>
      <c r="D58" s="39">
        <f xml:space="preserve"> COUNTIFS(Tests!$A:$A,[Function], Tests!$C:$C,"Indirect")</f>
        <v>0</v>
      </c>
      <c r="E58" s="39" t="b">
        <f xml:space="preserve"> [Direct Tests] + [Indirect Tests] &gt; 0</f>
        <v>0</v>
      </c>
    </row>
    <row r="59" spans="1:5">
      <c r="A59" s="14" t="s">
        <v>15</v>
      </c>
      <c r="B59" s="14" t="s">
        <v>220</v>
      </c>
      <c r="C59" s="39">
        <f xml:space="preserve"> COUNTIFS(Tests!$A:$A,[Function], Tests!$C:$C,"Direct")</f>
        <v>0</v>
      </c>
      <c r="D59" s="39">
        <f xml:space="preserve"> COUNTIFS(Tests!$A:$A,[Function], Tests!$C:$C,"Indirect")</f>
        <v>0</v>
      </c>
      <c r="E59" s="39" t="b">
        <f xml:space="preserve"> [Direct Tests] + [Indirect Tests] &gt; 0</f>
        <v>0</v>
      </c>
    </row>
    <row r="60" spans="1:5">
      <c r="A60" t="s">
        <v>15</v>
      </c>
      <c r="B60" t="s">
        <v>18</v>
      </c>
      <c r="C60" s="38">
        <f xml:space="preserve"> COUNTIFS(Tests!$A:$A,[Function], Tests!$C:$C,"Direct")</f>
        <v>0</v>
      </c>
      <c r="D60" s="38">
        <f xml:space="preserve"> COUNTIFS(Tests!$A:$A,[Function], Tests!$C:$C,"Indirect")</f>
        <v>1</v>
      </c>
      <c r="E60" s="38" t="b">
        <f xml:space="preserve"> [Direct Tests] + [Indirect Tests] &gt; 0</f>
        <v>1</v>
      </c>
    </row>
    <row r="61" spans="1:5">
      <c r="A61" s="14" t="s">
        <v>15</v>
      </c>
      <c r="B61" s="14" t="s">
        <v>19</v>
      </c>
      <c r="C61" s="39">
        <f xml:space="preserve"> COUNTIFS(Tests!$A:$A,[Function], Tests!$C:$C,"Direct")</f>
        <v>0</v>
      </c>
      <c r="D61" s="39">
        <f xml:space="preserve"> COUNTIFS(Tests!$A:$A,[Function], Tests!$C:$C,"Indirect")</f>
        <v>0</v>
      </c>
      <c r="E61" s="39" t="b">
        <f xml:space="preserve"> [Direct Tests] + [Indirect Tests] &gt; 0</f>
        <v>0</v>
      </c>
    </row>
    <row r="62" spans="1:5">
      <c r="A62" t="s">
        <v>15</v>
      </c>
      <c r="B62" t="s">
        <v>20</v>
      </c>
      <c r="C62" s="38">
        <f xml:space="preserve"> COUNTIFS(Tests!$A:$A,[Function], Tests!$C:$C,"Direct")</f>
        <v>0</v>
      </c>
      <c r="D62" s="38">
        <f xml:space="preserve"> COUNTIFS(Tests!$A:$A,[Function], Tests!$C:$C,"Indirect")</f>
        <v>1</v>
      </c>
      <c r="E62" s="38" t="b">
        <f xml:space="preserve"> [Direct Tests] + [Indirect Tests] &gt; 0</f>
        <v>1</v>
      </c>
    </row>
    <row r="63" spans="1:5">
      <c r="A63" t="s">
        <v>15</v>
      </c>
      <c r="B63" t="s">
        <v>21</v>
      </c>
      <c r="C63" s="38">
        <f xml:space="preserve"> COUNTIFS(Tests!$A:$A,[Function], Tests!$C:$C,"Direct")</f>
        <v>0</v>
      </c>
      <c r="D63" s="38">
        <f xml:space="preserve"> COUNTIFS(Tests!$A:$A,[Function], Tests!$C:$C,"Indirect")</f>
        <v>0</v>
      </c>
      <c r="E63" s="38" t="b">
        <f xml:space="preserve"> [Direct Tests] + [Indirect Tests] &gt; 0</f>
        <v>0</v>
      </c>
    </row>
    <row r="64" spans="1:5">
      <c r="A64" t="s">
        <v>15</v>
      </c>
      <c r="B64" t="s">
        <v>498</v>
      </c>
      <c r="C64" s="38">
        <f xml:space="preserve"> COUNTIFS(Tests!$A:$A,[Function], Tests!$C:$C,"Direct")</f>
        <v>0</v>
      </c>
      <c r="D64" s="38">
        <f xml:space="preserve"> COUNTIFS(Tests!$A:$A,[Function], Tests!$C:$C,"Indirect")</f>
        <v>0</v>
      </c>
      <c r="E64" s="38" t="b">
        <f xml:space="preserve"> [Direct Tests] + [Indirect Tests] &gt; 0</f>
        <v>0</v>
      </c>
    </row>
    <row r="65" spans="1:5">
      <c r="A65" t="s">
        <v>15</v>
      </c>
      <c r="B65" t="s">
        <v>22</v>
      </c>
      <c r="C65" s="38">
        <f xml:space="preserve"> COUNTIFS(Tests!$A:$A,[Function], Tests!$C:$C,"Direct")</f>
        <v>0</v>
      </c>
      <c r="D65" s="38">
        <f xml:space="preserve"> COUNTIFS(Tests!$A:$A,[Function], Tests!$C:$C,"Indirect")</f>
        <v>0</v>
      </c>
      <c r="E65" s="38" t="b">
        <f xml:space="preserve"> [Direct Tests] + [Indirect Tests] &gt; 0</f>
        <v>0</v>
      </c>
    </row>
    <row r="66" spans="1:5">
      <c r="A66" t="s">
        <v>15</v>
      </c>
      <c r="B66" t="s">
        <v>23</v>
      </c>
      <c r="C66" s="38">
        <f xml:space="preserve"> COUNTIFS(Tests!$A:$A,[Function], Tests!$C:$C,"Direct")</f>
        <v>0</v>
      </c>
      <c r="D66" s="38">
        <f xml:space="preserve"> COUNTIFS(Tests!$A:$A,[Function], Tests!$C:$C,"Indirect")</f>
        <v>0</v>
      </c>
      <c r="E66" s="38" t="b">
        <f xml:space="preserve"> [Direct Tests] + [Indirect Tests] &gt; 0</f>
        <v>0</v>
      </c>
    </row>
    <row r="67" spans="1:5">
      <c r="A67" t="s">
        <v>15</v>
      </c>
      <c r="B67" t="s">
        <v>24</v>
      </c>
      <c r="C67" s="38">
        <f xml:space="preserve"> COUNTIFS(Tests!$A:$A,[Function], Tests!$C:$C,"Direct")</f>
        <v>0</v>
      </c>
      <c r="D67" s="38">
        <f xml:space="preserve"> COUNTIFS(Tests!$A:$A,[Function], Tests!$C:$C,"Indirect")</f>
        <v>0</v>
      </c>
      <c r="E67" s="38" t="b">
        <f xml:space="preserve"> [Direct Tests] + [Indirect Tests] &gt; 0</f>
        <v>0</v>
      </c>
    </row>
    <row r="68" spans="1:5">
      <c r="A68" t="s">
        <v>25</v>
      </c>
      <c r="B68" t="s">
        <v>26</v>
      </c>
      <c r="C68" s="38">
        <f xml:space="preserve"> COUNTIFS(Tests!$A:$A,[Function], Tests!$C:$C,"Direct")</f>
        <v>1</v>
      </c>
      <c r="D68" s="38">
        <f xml:space="preserve"> COUNTIFS(Tests!$A:$A,[Function], Tests!$C:$C,"Indirect")</f>
        <v>0</v>
      </c>
      <c r="E68" s="38" t="b">
        <f xml:space="preserve"> [Direct Tests] + [Indirect Tests] &gt; 0</f>
        <v>1</v>
      </c>
    </row>
    <row r="69" spans="1:5">
      <c r="A69" t="s">
        <v>25</v>
      </c>
      <c r="B69" t="s">
        <v>27</v>
      </c>
      <c r="C69" s="38">
        <f xml:space="preserve"> COUNTIFS(Tests!$A:$A,[Function], Tests!$C:$C,"Direct")</f>
        <v>1</v>
      </c>
      <c r="D69" s="38">
        <f xml:space="preserve"> COUNTIFS(Tests!$A:$A,[Function], Tests!$C:$C,"Indirect")</f>
        <v>0</v>
      </c>
      <c r="E69" s="38" t="b">
        <f xml:space="preserve"> [Direct Tests] + [Indirect Tests] &gt; 0</f>
        <v>1</v>
      </c>
    </row>
    <row r="70" spans="1:5">
      <c r="A70" t="s">
        <v>25</v>
      </c>
      <c r="B70" t="s">
        <v>63</v>
      </c>
      <c r="C70" s="38">
        <f xml:space="preserve"> COUNTIFS(Tests!$A:$A,[Function], Tests!$C:$C,"Direct")</f>
        <v>2</v>
      </c>
      <c r="D70" s="38">
        <f xml:space="preserve"> COUNTIFS(Tests!$A:$A,[Function], Tests!$C:$C,"Indirect")</f>
        <v>0</v>
      </c>
      <c r="E70" s="38" t="b">
        <f xml:space="preserve"> [Direct Tests] + [Indirect Tests] &gt; 0</f>
        <v>1</v>
      </c>
    </row>
    <row r="71" spans="1:5">
      <c r="A71" s="14" t="s">
        <v>25</v>
      </c>
      <c r="B71" s="14" t="s">
        <v>30</v>
      </c>
      <c r="C71" s="39">
        <f xml:space="preserve"> COUNTIFS(Tests!$A:$A,[Function], Tests!$C:$C,"Direct")</f>
        <v>1</v>
      </c>
      <c r="D71" s="39">
        <f xml:space="preserve"> COUNTIFS(Tests!$A:$A,[Function], Tests!$C:$C,"Indirect")</f>
        <v>0</v>
      </c>
      <c r="E71" s="39" t="b">
        <f xml:space="preserve"> [Direct Tests] + [Indirect Tests] &gt; 0</f>
        <v>1</v>
      </c>
    </row>
    <row r="72" spans="1:5">
      <c r="A72" t="s">
        <v>25</v>
      </c>
      <c r="B72" t="s">
        <v>50</v>
      </c>
      <c r="C72" s="38">
        <f xml:space="preserve"> COUNTIFS(Tests!$A:$A,[Function], Tests!$C:$C,"Direct")</f>
        <v>1</v>
      </c>
      <c r="D72" s="38">
        <f xml:space="preserve"> COUNTIFS(Tests!$A:$A,[Function], Tests!$C:$C,"Indirect")</f>
        <v>0</v>
      </c>
      <c r="E72" s="38" t="b">
        <f xml:space="preserve"> [Direct Tests] + [Indirect Tests] &gt; 0</f>
        <v>1</v>
      </c>
    </row>
    <row r="73" spans="1:5">
      <c r="A73" t="s">
        <v>25</v>
      </c>
      <c r="B73" t="s">
        <v>51</v>
      </c>
      <c r="C73" s="38">
        <f xml:space="preserve"> COUNTIFS(Tests!$A:$A,[Function], Tests!$C:$C,"Direct")</f>
        <v>3</v>
      </c>
      <c r="D73" s="38">
        <f xml:space="preserve"> COUNTIFS(Tests!$A:$A,[Function], Tests!$C:$C,"Indirect")</f>
        <v>0</v>
      </c>
      <c r="E73" s="38" t="b">
        <f xml:space="preserve"> [Direct Tests] + [Indirect Tests] &gt; 0</f>
        <v>1</v>
      </c>
    </row>
    <row r="74" spans="1:5">
      <c r="A74" t="s">
        <v>25</v>
      </c>
      <c r="B74" t="s">
        <v>28</v>
      </c>
      <c r="C74" s="38">
        <f xml:space="preserve"> COUNTIFS(Tests!$A:$A,[Function], Tests!$C:$C,"Direct")</f>
        <v>1</v>
      </c>
      <c r="D74" s="38">
        <f xml:space="preserve"> COUNTIFS(Tests!$A:$A,[Function], Tests!$C:$C,"Indirect")</f>
        <v>0</v>
      </c>
      <c r="E74" s="38" t="b">
        <f xml:space="preserve"> [Direct Tests] + [Indirect Tests] &gt; 0</f>
        <v>1</v>
      </c>
    </row>
    <row r="75" spans="1:5">
      <c r="A75" t="s">
        <v>25</v>
      </c>
      <c r="B75" t="s">
        <v>29</v>
      </c>
      <c r="C75" s="38">
        <f xml:space="preserve"> COUNTIFS(Tests!$A:$A,[Function], Tests!$C:$C,"Direct")</f>
        <v>1</v>
      </c>
      <c r="D75" s="38">
        <f xml:space="preserve"> COUNTIFS(Tests!$A:$A,[Function], Tests!$C:$C,"Indirect")</f>
        <v>0</v>
      </c>
      <c r="E75" s="38" t="b">
        <f xml:space="preserve"> [Direct Tests] + [Indirect Tests] &gt; 0</f>
        <v>1</v>
      </c>
    </row>
    <row r="76" spans="1:5">
      <c r="A76" t="s">
        <v>25</v>
      </c>
      <c r="B76" t="s">
        <v>149</v>
      </c>
      <c r="C76" s="38">
        <f xml:space="preserve"> COUNTIFS(Tests!$A:$A,[Function], Tests!$C:$C,"Direct")</f>
        <v>1</v>
      </c>
      <c r="D76" s="38">
        <f xml:space="preserve"> COUNTIFS(Tests!$A:$A,[Function], Tests!$C:$C,"Indirect")</f>
        <v>0</v>
      </c>
      <c r="E76" s="38" t="b">
        <f xml:space="preserve"> [Direct Tests] + [Indirect Tests] &gt; 0</f>
        <v>1</v>
      </c>
    </row>
    <row r="77" spans="1:5">
      <c r="A77" s="14" t="s">
        <v>43</v>
      </c>
      <c r="B77" s="14" t="s">
        <v>91</v>
      </c>
      <c r="C77" s="39">
        <f xml:space="preserve"> COUNTIFS(Tests!$A:$A,[Function], Tests!$C:$C,"Direct")</f>
        <v>0</v>
      </c>
      <c r="D77" s="39">
        <f xml:space="preserve"> COUNTIFS(Tests!$A:$A,[Function], Tests!$C:$C,"Indirect")</f>
        <v>0</v>
      </c>
      <c r="E77" s="39" t="b">
        <f xml:space="preserve"> [Direct Tests] + [Indirect Tests] &gt; 0</f>
        <v>0</v>
      </c>
    </row>
    <row r="78" spans="1:5">
      <c r="A78" s="14" t="s">
        <v>43</v>
      </c>
      <c r="B78" s="14" t="s">
        <v>92</v>
      </c>
      <c r="C78" s="39">
        <f xml:space="preserve"> COUNTIFS(Tests!$A:$A,[Function], Tests!$C:$C,"Direct")</f>
        <v>0</v>
      </c>
      <c r="D78" s="39">
        <f xml:space="preserve"> COUNTIFS(Tests!$A:$A,[Function], Tests!$C:$C,"Indirect")</f>
        <v>0</v>
      </c>
      <c r="E78" s="39" t="b">
        <f xml:space="preserve"> [Direct Tests] + [Indirect Tests] &gt; 0</f>
        <v>0</v>
      </c>
    </row>
    <row r="79" spans="1:5">
      <c r="A79" s="14" t="s">
        <v>43</v>
      </c>
      <c r="B79" s="14" t="s">
        <v>93</v>
      </c>
      <c r="C79" s="39">
        <f xml:space="preserve"> COUNTIFS(Tests!$A:$A,[Function], Tests!$C:$C,"Direct")</f>
        <v>0</v>
      </c>
      <c r="D79" s="39">
        <f xml:space="preserve"> COUNTIFS(Tests!$A:$A,[Function], Tests!$C:$C,"Indirect")</f>
        <v>0</v>
      </c>
      <c r="E79" s="39" t="b">
        <f xml:space="preserve"> [Direct Tests] + [Indirect Tests] &gt; 0</f>
        <v>0</v>
      </c>
    </row>
    <row r="80" spans="1:5">
      <c r="A80" t="s">
        <v>43</v>
      </c>
      <c r="B80" t="s">
        <v>94</v>
      </c>
      <c r="C80" s="38">
        <f xml:space="preserve"> COUNTIFS(Tests!$A:$A,[Function], Tests!$C:$C,"Direct")</f>
        <v>0</v>
      </c>
      <c r="D80" s="38">
        <f xml:space="preserve"> COUNTIFS(Tests!$A:$A,[Function], Tests!$C:$C,"Indirect")</f>
        <v>1</v>
      </c>
      <c r="E80" s="38" t="b">
        <f xml:space="preserve"> [Direct Tests] + [Indirect Tests] &gt; 0</f>
        <v>1</v>
      </c>
    </row>
    <row r="81" spans="1:5">
      <c r="A81" t="s">
        <v>43</v>
      </c>
      <c r="B81" t="s">
        <v>95</v>
      </c>
      <c r="C81" s="38">
        <f xml:space="preserve"> COUNTIFS(Tests!$A:$A,[Function], Tests!$C:$C,"Direct")</f>
        <v>0</v>
      </c>
      <c r="D81" s="38">
        <f xml:space="preserve"> COUNTIFS(Tests!$A:$A,[Function], Tests!$C:$C,"Indirect")</f>
        <v>0</v>
      </c>
      <c r="E81" s="38" t="b">
        <f xml:space="preserve"> [Direct Tests] + [Indirect Tests] &gt; 0</f>
        <v>0</v>
      </c>
    </row>
    <row r="82" spans="1:5">
      <c r="A82" t="s">
        <v>43</v>
      </c>
      <c r="B82" t="s">
        <v>53</v>
      </c>
      <c r="C82" s="38">
        <f xml:space="preserve"> COUNTIFS(Tests!$A:$A,[Function], Tests!$C:$C,"Direct")</f>
        <v>0</v>
      </c>
      <c r="D82" s="38">
        <f xml:space="preserve"> COUNTIFS(Tests!$A:$A,[Function], Tests!$C:$C,"Indirect")</f>
        <v>1</v>
      </c>
      <c r="E82" s="38" t="b">
        <f xml:space="preserve"> [Direct Tests] + [Indirect Tests] &gt; 0</f>
        <v>1</v>
      </c>
    </row>
    <row r="83" spans="1:5">
      <c r="A83" t="s">
        <v>43</v>
      </c>
      <c r="B83" t="s">
        <v>96</v>
      </c>
      <c r="C83" s="38">
        <f xml:space="preserve"> COUNTIFS(Tests!$A:$A,[Function], Tests!$C:$C,"Direct")</f>
        <v>0</v>
      </c>
      <c r="D83" s="38">
        <f xml:space="preserve"> COUNTIFS(Tests!$A:$A,[Function], Tests!$C:$C,"Indirect")</f>
        <v>0</v>
      </c>
      <c r="E83" s="38" t="b">
        <f xml:space="preserve"> [Direct Tests] + [Indirect Tests] &gt; 0</f>
        <v>0</v>
      </c>
    </row>
    <row r="84" spans="1:5">
      <c r="A84" t="s">
        <v>43</v>
      </c>
      <c r="B84" t="s">
        <v>97</v>
      </c>
      <c r="C84" s="38">
        <f xml:space="preserve"> COUNTIFS(Tests!$A:$A,[Function], Tests!$C:$C,"Direct")</f>
        <v>0</v>
      </c>
      <c r="D84" s="38">
        <f xml:space="preserve"> COUNTIFS(Tests!$A:$A,[Function], Tests!$C:$C,"Indirect")</f>
        <v>0</v>
      </c>
      <c r="E84" s="38" t="b">
        <f xml:space="preserve"> [Direct Tests] + [Indirect Tests] &gt; 0</f>
        <v>0</v>
      </c>
    </row>
    <row r="85" spans="1:5">
      <c r="A85" t="s">
        <v>43</v>
      </c>
      <c r="B85" t="s">
        <v>98</v>
      </c>
      <c r="C85" s="38">
        <f xml:space="preserve"> COUNTIFS(Tests!$A:$A,[Function], Tests!$C:$C,"Direct")</f>
        <v>0</v>
      </c>
      <c r="D85" s="38">
        <f xml:space="preserve"> COUNTIFS(Tests!$A:$A,[Function], Tests!$C:$C,"Indirect")</f>
        <v>0</v>
      </c>
      <c r="E85" s="38" t="b">
        <f xml:space="preserve"> [Direct Tests] + [Indirect Tests] &gt; 0</f>
        <v>0</v>
      </c>
    </row>
    <row r="86" spans="1:5">
      <c r="A86" s="14" t="s">
        <v>43</v>
      </c>
      <c r="B86" s="14" t="s">
        <v>99</v>
      </c>
      <c r="C86" s="39">
        <f xml:space="preserve"> COUNTIFS(Tests!$A:$A,[Function], Tests!$C:$C,"Direct")</f>
        <v>0</v>
      </c>
      <c r="D86" s="39">
        <f xml:space="preserve"> COUNTIFS(Tests!$A:$A,[Function], Tests!$C:$C,"Indirect")</f>
        <v>0</v>
      </c>
      <c r="E86" s="39" t="b">
        <f xml:space="preserve"> [Direct Tests] + [Indirect Tests] &gt; 0</f>
        <v>0</v>
      </c>
    </row>
    <row r="87" spans="1:5">
      <c r="A87" s="14" t="s">
        <v>330</v>
      </c>
      <c r="B87" s="14" t="s">
        <v>331</v>
      </c>
      <c r="C87" s="39">
        <f xml:space="preserve"> COUNTIFS(Tests!$A:$A,[Function], Tests!$C:$C,"Direct")</f>
        <v>0</v>
      </c>
      <c r="D87" s="39">
        <f xml:space="preserve"> COUNTIFS(Tests!$A:$A,[Function], Tests!$C:$C,"Indirect")</f>
        <v>0</v>
      </c>
      <c r="E87" s="39" t="b">
        <f xml:space="preserve"> [Direct Tests] + [Indirect Tests] &gt; 0</f>
        <v>0</v>
      </c>
    </row>
    <row r="88" spans="1:5">
      <c r="A88" s="14" t="s">
        <v>330</v>
      </c>
      <c r="B88" s="14" t="s">
        <v>332</v>
      </c>
      <c r="C88" s="39">
        <f xml:space="preserve"> COUNTIFS(Tests!$A:$A,[Function], Tests!$C:$C,"Direct")</f>
        <v>0</v>
      </c>
      <c r="D88" s="39">
        <f xml:space="preserve"> COUNTIFS(Tests!$A:$A,[Function], Tests!$C:$C,"Indirect")</f>
        <v>0</v>
      </c>
      <c r="E88" s="39" t="b">
        <f xml:space="preserve"> [Direct Tests] + [Indirect Tests] &gt; 0</f>
        <v>0</v>
      </c>
    </row>
    <row r="89" spans="1:5">
      <c r="A89" s="14" t="s">
        <v>330</v>
      </c>
      <c r="B89" s="14" t="s">
        <v>333</v>
      </c>
      <c r="C89" s="39">
        <f xml:space="preserve"> COUNTIFS(Tests!$A:$A,[Function], Tests!$C:$C,"Direct")</f>
        <v>0</v>
      </c>
      <c r="D89" s="39">
        <f xml:space="preserve"> COUNTIFS(Tests!$A:$A,[Function], Tests!$C:$C,"Indirect")</f>
        <v>0</v>
      </c>
      <c r="E89" s="39" t="b">
        <f xml:space="preserve"> [Direct Tests] + [Indirect Tests] &gt; 0</f>
        <v>0</v>
      </c>
    </row>
    <row r="90" spans="1:5">
      <c r="A90" t="s">
        <v>330</v>
      </c>
      <c r="B90" t="s">
        <v>334</v>
      </c>
      <c r="C90" s="38">
        <f xml:space="preserve"> COUNTIFS(Tests!$A:$A,[Function], Tests!$C:$C,"Direct")</f>
        <v>0</v>
      </c>
      <c r="D90" s="38">
        <f xml:space="preserve"> COUNTIFS(Tests!$A:$A,[Function], Tests!$C:$C,"Indirect")</f>
        <v>0</v>
      </c>
      <c r="E90" s="38" t="b">
        <f xml:space="preserve"> [Direct Tests] + [Indirect Tests] &gt; 0</f>
        <v>0</v>
      </c>
    </row>
    <row r="91" spans="1:5">
      <c r="A91" t="s">
        <v>31</v>
      </c>
      <c r="B91" t="s">
        <v>32</v>
      </c>
      <c r="C91" s="38">
        <f xml:space="preserve"> COUNTIFS(Tests!$A:$A,[Function], Tests!$C:$C,"Direct")</f>
        <v>0</v>
      </c>
      <c r="D91" s="38">
        <f xml:space="preserve"> COUNTIFS(Tests!$A:$A,[Function], Tests!$C:$C,"Indirect")</f>
        <v>0</v>
      </c>
      <c r="E91" s="38" t="b">
        <f xml:space="preserve"> [Direct Tests] + [Indirect Tests] &gt; 0</f>
        <v>0</v>
      </c>
    </row>
    <row r="92" spans="1:5">
      <c r="A92" t="s">
        <v>31</v>
      </c>
      <c r="B92" t="s">
        <v>33</v>
      </c>
      <c r="C92" s="38">
        <f xml:space="preserve"> COUNTIFS(Tests!$A:$A,[Function], Tests!$C:$C,"Direct")</f>
        <v>0</v>
      </c>
      <c r="D92" s="38">
        <f xml:space="preserve"> COUNTIFS(Tests!$A:$A,[Function], Tests!$C:$C,"Indirect")</f>
        <v>0</v>
      </c>
      <c r="E92" s="38" t="b">
        <f xml:space="preserve"> [Direct Tests] + [Indirect Tests] &gt; 0</f>
        <v>0</v>
      </c>
    </row>
    <row r="93" spans="1:5">
      <c r="A93" s="14" t="s">
        <v>31</v>
      </c>
      <c r="B93" s="14" t="s">
        <v>34</v>
      </c>
      <c r="C93" s="39">
        <f xml:space="preserve"> COUNTIFS(Tests!$A:$A,[Function], Tests!$C:$C,"Direct")</f>
        <v>0</v>
      </c>
      <c r="D93" s="39">
        <f xml:space="preserve"> COUNTIFS(Tests!$A:$A,[Function], Tests!$C:$C,"Indirect")</f>
        <v>0</v>
      </c>
      <c r="E93" s="39" t="b">
        <f xml:space="preserve"> [Direct Tests] + [Indirect Tests] &gt; 0</f>
        <v>0</v>
      </c>
    </row>
    <row r="94" spans="1:5">
      <c r="A94" s="14" t="s">
        <v>31</v>
      </c>
      <c r="B94" s="14" t="s">
        <v>35</v>
      </c>
      <c r="C94" s="39">
        <f xml:space="preserve"> COUNTIFS(Tests!$A:$A,[Function], Tests!$C:$C,"Direct")</f>
        <v>0</v>
      </c>
      <c r="D94" s="39">
        <f xml:space="preserve"> COUNTIFS(Tests!$A:$A,[Function], Tests!$C:$C,"Indirect")</f>
        <v>0</v>
      </c>
      <c r="E94" s="39" t="b">
        <f xml:space="preserve"> [Direct Tests] + [Indirect Tests] &gt; 0</f>
        <v>0</v>
      </c>
    </row>
    <row r="95" spans="1:5">
      <c r="A95" t="s">
        <v>31</v>
      </c>
      <c r="B95" t="s">
        <v>36</v>
      </c>
      <c r="C95" s="38">
        <f xml:space="preserve"> COUNTIFS(Tests!$A:$A,[Function], Tests!$C:$C,"Direct")</f>
        <v>0</v>
      </c>
      <c r="D95" s="38">
        <f xml:space="preserve"> COUNTIFS(Tests!$A:$A,[Function], Tests!$C:$C,"Indirect")</f>
        <v>0</v>
      </c>
      <c r="E95" s="38" t="b">
        <f xml:space="preserve"> [Direct Tests] + [Indirect Tests] &gt; 0</f>
        <v>0</v>
      </c>
    </row>
    <row r="96" spans="1:5">
      <c r="A96" t="s">
        <v>31</v>
      </c>
      <c r="B96" t="s">
        <v>37</v>
      </c>
      <c r="C96" s="38">
        <f xml:space="preserve"> COUNTIFS(Tests!$A:$A,[Function], Tests!$C:$C,"Direct")</f>
        <v>0</v>
      </c>
      <c r="D96" s="38">
        <f xml:space="preserve"> COUNTIFS(Tests!$A:$A,[Function], Tests!$C:$C,"Indirect")</f>
        <v>0</v>
      </c>
      <c r="E96" s="38" t="b">
        <f xml:space="preserve"> [Direct Tests] + [Indirect Tests] &gt; 0</f>
        <v>0</v>
      </c>
    </row>
    <row r="97" spans="1:5">
      <c r="A97" t="s">
        <v>38</v>
      </c>
      <c r="B97" t="s">
        <v>39</v>
      </c>
      <c r="C97" s="38">
        <f xml:space="preserve"> COUNTIFS(Tests!$A:$A,[Function], Tests!$C:$C,"Direct")</f>
        <v>0</v>
      </c>
      <c r="D97" s="38">
        <f xml:space="preserve"> COUNTIFS(Tests!$A:$A,[Function], Tests!$C:$C,"Indirect")</f>
        <v>0</v>
      </c>
      <c r="E97" s="38" t="b">
        <f xml:space="preserve"> [Direct Tests] + [Indirect Tests] &gt; 0</f>
        <v>0</v>
      </c>
    </row>
    <row r="98" spans="1:5">
      <c r="A98" s="14" t="s">
        <v>38</v>
      </c>
      <c r="B98" s="14" t="s">
        <v>40</v>
      </c>
      <c r="C98" s="39">
        <f xml:space="preserve"> COUNTIFS(Tests!$A:$A,[Function], Tests!$C:$C,"Direct")</f>
        <v>0</v>
      </c>
      <c r="D98" s="39">
        <f xml:space="preserve"> COUNTIFS(Tests!$A:$A,[Function], Tests!$C:$C,"Indirect")</f>
        <v>0</v>
      </c>
      <c r="E98" s="39" t="b">
        <f xml:space="preserve"> [Direct Tests] + [Indirect Tests] &gt; 0</f>
        <v>0</v>
      </c>
    </row>
    <row r="99" spans="1:5">
      <c r="A99" t="s">
        <v>38</v>
      </c>
      <c r="B99" t="s">
        <v>41</v>
      </c>
      <c r="C99" s="38">
        <f xml:space="preserve"> COUNTIFS(Tests!$A:$A,[Function], Tests!$C:$C,"Direct")</f>
        <v>0</v>
      </c>
      <c r="D99" s="38">
        <f xml:space="preserve"> COUNTIFS(Tests!$A:$A,[Function], Tests!$C:$C,"Indirect")</f>
        <v>0</v>
      </c>
      <c r="E99" s="38" t="b">
        <f xml:space="preserve"> [Direct Tests] + [Indirect Tests] &gt; 0</f>
        <v>0</v>
      </c>
    </row>
    <row r="100" spans="1:5">
      <c r="A100" s="14" t="s">
        <v>38</v>
      </c>
      <c r="B100" s="14" t="s">
        <v>42</v>
      </c>
      <c r="C100" s="39">
        <f xml:space="preserve"> COUNTIFS(Tests!$A:$A,[Function], Tests!$C:$C,"Direct")</f>
        <v>0</v>
      </c>
      <c r="D100" s="39">
        <f xml:space="preserve"> COUNTIFS(Tests!$A:$A,[Function], Tests!$C:$C,"Indirect")</f>
        <v>0</v>
      </c>
      <c r="E100" s="39" t="b">
        <f xml:space="preserve"> [Direct Tests] + [Indirect Tests] &gt; 0</f>
        <v>0</v>
      </c>
    </row>
  </sheetData>
  <dataConsolidate/>
  <conditionalFormatting sqref="A1:E1048576">
    <cfRule type="expression" dxfId="4" priority="2">
      <formula xml:space="preserve"> ""&amp;$E1 = "FALSE"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_Links"/>
  <dimension ref="A1:B3"/>
  <sheetViews>
    <sheetView workbookViewId="0"/>
  </sheetViews>
  <sheetFormatPr defaultRowHeight="15"/>
  <sheetData>
    <row r="1" spans="1:2">
      <c r="A1" t="str">
        <f xml:space="preserve"> [1]Sheet1!A1</f>
        <v>a</v>
      </c>
      <c r="B1">
        <v>1</v>
      </c>
    </row>
    <row r="2" spans="1:2">
      <c r="A2" t="str">
        <f xml:space="preserve"> [1]Sheet1!A2</f>
        <v>b</v>
      </c>
    </row>
    <row r="3" spans="1:2">
      <c r="A3" t="str">
        <f xml:space="preserve"> [1]Sheet1!A3</f>
        <v>c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_Charts"/>
  <dimension ref="B2:C6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>
        <v>1</v>
      </c>
      <c r="C3">
        <f xml:space="preserve"> B3 * 2</f>
        <v>2</v>
      </c>
    </row>
    <row r="4" spans="2:3">
      <c r="B4">
        <v>2</v>
      </c>
      <c r="C4">
        <f xml:space="preserve"> B4 * 2</f>
        <v>4</v>
      </c>
    </row>
    <row r="5" spans="2:3">
      <c r="B5">
        <v>3</v>
      </c>
      <c r="C5">
        <f xml:space="preserve"> B5 * 2</f>
        <v>6</v>
      </c>
    </row>
    <row r="6" spans="2:3">
      <c r="B6">
        <v>4</v>
      </c>
      <c r="C6">
        <f xml:space="preserve"> B6 * 2</f>
        <v>8</v>
      </c>
    </row>
  </sheetData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F4:L12"/>
  <sheetViews>
    <sheetView workbookViewId="0">
      <selection activeCell="F5" sqref="F5:I9"/>
    </sheetView>
  </sheetViews>
  <sheetFormatPr defaultRowHeight="15"/>
  <sheetData>
    <row r="4" spans="6:12">
      <c r="F4" t="s">
        <v>384</v>
      </c>
      <c r="G4" t="s">
        <v>385</v>
      </c>
      <c r="H4" t="s">
        <v>386</v>
      </c>
      <c r="I4" t="s">
        <v>387</v>
      </c>
    </row>
    <row r="5" spans="6:12">
      <c r="F5" s="14" t="s">
        <v>45</v>
      </c>
      <c r="G5" s="14" t="s">
        <v>54</v>
      </c>
      <c r="H5" s="14"/>
      <c r="I5" s="14">
        <v>1</v>
      </c>
      <c r="J5" t="s">
        <v>411</v>
      </c>
      <c r="L5" t="str">
        <f t="shared" ref="L5:L10" si="0" xml:space="preserve"> ":" &amp; F5 &amp; "/" &amp; G5 &amp; "/" &amp; H5 &amp; "/" &amp; I5 &amp; "/" &amp; J5</f>
        <v>:b/x//1/qrst</v>
      </c>
    </row>
    <row r="6" spans="6:12">
      <c r="F6" s="14" t="s">
        <v>44</v>
      </c>
      <c r="G6" s="14" t="s">
        <v>54</v>
      </c>
      <c r="H6" s="14"/>
      <c r="I6" s="14">
        <v>1</v>
      </c>
      <c r="J6" t="s">
        <v>412</v>
      </c>
      <c r="L6" t="str">
        <f t="shared" si="0"/>
        <v>:a/x//1/uvwx</v>
      </c>
    </row>
    <row r="7" spans="6:12">
      <c r="F7" s="14" t="s">
        <v>44</v>
      </c>
      <c r="G7" s="14" t="s">
        <v>54</v>
      </c>
      <c r="H7" s="14"/>
      <c r="I7" s="14" t="s">
        <v>472</v>
      </c>
      <c r="J7" t="s">
        <v>413</v>
      </c>
      <c r="L7" t="str">
        <f t="shared" si="0"/>
        <v>:a/x//P/yzab</v>
      </c>
    </row>
    <row r="8" spans="6:12">
      <c r="F8" s="14" t="s">
        <v>45</v>
      </c>
      <c r="G8" s="14" t="s">
        <v>474</v>
      </c>
      <c r="H8" s="14"/>
      <c r="I8" s="14">
        <v>1</v>
      </c>
      <c r="J8" t="s">
        <v>414</v>
      </c>
      <c r="L8" t="str">
        <f t="shared" si="0"/>
        <v>:b/R//1/cdef</v>
      </c>
    </row>
    <row r="9" spans="6:12">
      <c r="F9" s="14" t="s">
        <v>473</v>
      </c>
      <c r="G9" s="14" t="s">
        <v>440</v>
      </c>
      <c r="H9" s="14"/>
      <c r="I9" s="14">
        <v>2</v>
      </c>
      <c r="J9" t="s">
        <v>415</v>
      </c>
      <c r="L9" t="str">
        <f t="shared" si="0"/>
        <v>:Q/y//2/ghij</v>
      </c>
    </row>
    <row r="10" spans="6:12">
      <c r="F10" s="14" t="s">
        <v>407</v>
      </c>
      <c r="G10" s="14" t="s">
        <v>408</v>
      </c>
      <c r="H10" s="14" t="s">
        <v>409</v>
      </c>
      <c r="I10" s="14" t="s">
        <v>410</v>
      </c>
      <c r="J10" t="s">
        <v>416</v>
      </c>
      <c r="L10" t="str">
        <f t="shared" si="0"/>
        <v>:abcd/efgh/ijkl/mnop/klmn</v>
      </c>
    </row>
    <row r="12" spans="6:12">
      <c r="L12" t="str">
        <f xml:space="preserve"> CONCATENATE(L5,L6,L7,L8,L9,L10)</f>
        <v>:b/x//1/qrst:a/x//1/uvwx:a/x//P/yzab:b/R//1/cdef:Q/y//2/ghij:abcd/efgh/ijkl/mnop/klmn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_Test_UsedRange"/>
  <dimension ref="B2:C3"/>
  <sheetViews>
    <sheetView workbookViewId="0"/>
  </sheetViews>
  <sheetFormatPr defaultRowHeight="15"/>
  <sheetData>
    <row r="2" spans="2:3">
      <c r="B2" t="s">
        <v>44</v>
      </c>
      <c r="C2" t="s">
        <v>45</v>
      </c>
    </row>
    <row r="3" spans="2:3">
      <c r="B3" t="s">
        <v>46</v>
      </c>
      <c r="C3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Tests</vt:lpstr>
      <vt:lpstr>Coverage</vt:lpstr>
      <vt:lpstr>Links</vt:lpstr>
      <vt:lpstr>Charts</vt:lpstr>
      <vt:lpstr>Tables</vt:lpstr>
      <vt:lpstr>Test_UsedRange</vt:lpstr>
      <vt:lpstr>FunctionsCovered</vt:lpstr>
      <vt:lpstr>FunctionsNotCovered</vt:lpstr>
      <vt:lpstr>MaxTestRow</vt:lpstr>
      <vt:lpstr>NumTestsFailing</vt:lpstr>
      <vt:lpstr>NumTestsPassing</vt:lpstr>
      <vt:lpstr>TblTest1_Col1</vt:lpstr>
      <vt:lpstr>TblTest1_Col2</vt:lpstr>
      <vt:lpstr>TblTest1_Col3</vt:lpstr>
      <vt:lpstr>TblTest1_Col4</vt:lpstr>
      <vt:lpstr>TblTest1_MaxExtent</vt:lpstr>
      <vt:lpstr>TblTest1AndSurroundingContents</vt:lpstr>
      <vt:lpstr>TestCategories</vt:lpstr>
      <vt:lpstr>TestChecks</vt:lpstr>
      <vt:lpstr>TestNames</vt:lpstr>
      <vt:lpstr>TestResults</vt:lpstr>
      <vt:lpstr>TestSpecs</vt:lpstr>
      <vt:lpstr>TotalTests</vt:lpstr>
    </vt:vector>
  </TitlesOfParts>
  <Company>BlueCross BlueShield of Tennessee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Nylen</dc:creator>
  <cp:lastModifiedBy>James Nylen</cp:lastModifiedBy>
  <dcterms:created xsi:type="dcterms:W3CDTF">2012-03-02T15:49:50Z</dcterms:created>
  <dcterms:modified xsi:type="dcterms:W3CDTF">2013-12-04T15:52:35Z</dcterms:modified>
</cp:coreProperties>
</file>