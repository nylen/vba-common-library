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ables" sheetId="197" r:id="rId5"/>
    <sheet name="Test_UsedRange" sheetId="90" r:id="rId6"/>
  </sheets>
  <functionGroups/>
  <externalReferences>
    <externalReference r:id="rId7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blTest1_Col1">Tables!$F$5:$F$9</definedName>
    <definedName name="TblTest1_Col2">Tables!$G$5:$G$9</definedName>
    <definedName name="TblTest1_Col3">Tables!$H$5:$H$9</definedName>
    <definedName name="TblTest1_Col4">Tables!$I$5:$I$9</definedName>
    <definedName name="TblTest1_MaxExtent">Tables!$E$5:$I$9</definedName>
    <definedName name="TblTest1AndSurroundingContents">Tables!$L$12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J189" i="4" l="1"/>
  <c r="C94" i="3"/>
  <c r="D94"/>
  <c r="B165" i="4"/>
  <c r="J184"/>
  <c r="J185"/>
  <c r="J186"/>
  <c r="J187"/>
  <c r="J188"/>
  <c r="J183"/>
  <c r="B164"/>
  <c r="B163"/>
  <c r="B162"/>
  <c r="J179"/>
  <c r="J178"/>
  <c r="J177"/>
  <c r="J182"/>
  <c r="J181"/>
  <c r="J180"/>
  <c r="J176"/>
  <c r="J175"/>
  <c r="J174"/>
  <c r="B161"/>
  <c r="J171"/>
  <c r="C90" i="3"/>
  <c r="C91"/>
  <c r="C92"/>
  <c r="C93"/>
  <c r="D90"/>
  <c r="E90" s="1"/>
  <c r="D91"/>
  <c r="D92"/>
  <c r="D93"/>
  <c r="C89"/>
  <c r="D89"/>
  <c r="B160" i="4"/>
  <c r="B159"/>
  <c r="J173"/>
  <c r="J172"/>
  <c r="J170"/>
  <c r="J169"/>
  <c r="C88" i="3"/>
  <c r="D88"/>
  <c r="J168" i="4"/>
  <c r="B158"/>
  <c r="C87" i="3"/>
  <c r="D87"/>
  <c r="B157" i="4"/>
  <c r="J167"/>
  <c r="J166"/>
  <c r="J165"/>
  <c r="J164"/>
  <c r="J163"/>
  <c r="L6" i="197"/>
  <c r="L7"/>
  <c r="L8"/>
  <c r="L9"/>
  <c r="L10"/>
  <c r="L5"/>
  <c r="J162" i="4"/>
  <c r="J159"/>
  <c r="J157"/>
  <c r="J155"/>
  <c r="J161"/>
  <c r="J153"/>
  <c r="J160"/>
  <c r="J158"/>
  <c r="J156"/>
  <c r="J154"/>
  <c r="J152"/>
  <c r="J151"/>
  <c r="B156"/>
  <c r="B155"/>
  <c r="B154"/>
  <c r="B153"/>
  <c r="B152"/>
  <c r="B151"/>
  <c r="C80" i="3"/>
  <c r="C81"/>
  <c r="C82"/>
  <c r="C83"/>
  <c r="C84"/>
  <c r="C85"/>
  <c r="C86"/>
  <c r="D80"/>
  <c r="E80" s="1"/>
  <c r="D81"/>
  <c r="D82"/>
  <c r="D83"/>
  <c r="D84"/>
  <c r="D85"/>
  <c r="D86"/>
  <c r="E92" l="1"/>
  <c r="E91"/>
  <c r="E94"/>
  <c r="E83"/>
  <c r="E93"/>
  <c r="E89"/>
  <c r="E82"/>
  <c r="E84"/>
  <c r="E81"/>
  <c r="E88"/>
  <c r="E85"/>
  <c r="E87"/>
  <c r="L12" i="197"/>
  <c r="E86" i="3"/>
  <c r="B143" i="4"/>
  <c r="B142"/>
  <c r="B122"/>
  <c r="B123"/>
  <c r="B124"/>
  <c r="B141"/>
  <c r="B140"/>
  <c r="B139"/>
  <c r="B138"/>
  <c r="B137"/>
  <c r="B136"/>
  <c r="B133"/>
  <c r="B132"/>
  <c r="B131"/>
  <c r="B130"/>
  <c r="J148"/>
  <c r="J146"/>
  <c r="J145"/>
  <c r="J144"/>
  <c r="J143"/>
  <c r="J142"/>
  <c r="J141"/>
  <c r="J140"/>
  <c r="J139"/>
  <c r="J138"/>
  <c r="J137"/>
  <c r="J136"/>
  <c r="C79" i="3"/>
  <c r="D79"/>
  <c r="C78"/>
  <c r="D78"/>
  <c r="C72"/>
  <c r="C73"/>
  <c r="C74"/>
  <c r="C75"/>
  <c r="C76"/>
  <c r="C77"/>
  <c r="D72"/>
  <c r="D73"/>
  <c r="D74"/>
  <c r="D75"/>
  <c r="D76"/>
  <c r="D77"/>
  <c r="E72"/>
  <c r="E73"/>
  <c r="E74"/>
  <c r="E75"/>
  <c r="E76"/>
  <c r="E77"/>
  <c r="B127" i="4"/>
  <c r="J134"/>
  <c r="J133"/>
  <c r="J132"/>
  <c r="J129"/>
  <c r="J131"/>
  <c r="B128"/>
  <c r="B126"/>
  <c r="B125"/>
  <c r="J127"/>
  <c r="J126"/>
  <c r="J125"/>
  <c r="B129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79" l="1"/>
  <c r="E78"/>
  <c r="E6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J122" i="4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O13" a="1"/>
  <c r="M28" a="1"/>
  <c r="M36" a="1"/>
  <c r="M21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I3" a="1"/>
  <c r="J149" l="1"/>
  <c r="I3"/>
  <c r="E2" i="3"/>
  <c r="E3"/>
  <c r="H3" l="1"/>
  <c r="H2"/>
  <c r="J147" i="4"/>
  <c r="K2" s="1"/>
  <c r="K3" l="1"/>
  <c r="I2" s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<sst xmlns="http://schemas.openxmlformats.org/spreadsheetml/2006/main" count="1039" uniqueCount="496">
  <si>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</si>
  <si>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</si>
  <si>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</si>
  <si>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</si>
  <si>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</si>
  <si>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</si>
  <si>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</si>
  <si>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</si>
  <si>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</si>
  <si>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</si>
  <si>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</si>
  <si>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</si>
  <si>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</si>
  <si>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</si>
  <si>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</si>
  <si>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</si>
  <si>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</si>
  <si>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</si>
  <si>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</si>
  <si>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</si>
  <si>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</si>
  <si>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</si>
  <si>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</si>
  <si>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</si>
  <si>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</si>
  <si>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</si>
  <si>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</si>
  <si>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</si>
  <si>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</si>
  <si>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</si>
  <si>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</si>
  <si>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</si>
  <si>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</si>
  <si>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</si>
  <si>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</si>
  <si>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</si>
  <si>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</si>
  <si>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</si>
  <si>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</si>
  <si>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</si>
  <si>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</si>
  <si>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</si>
  <si>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</si>
  <si>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</si>
  <si>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</si>
  <si>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</si>
  <si>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</si>
  <si>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</si>
  <si>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</si>
  <si>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</si>
  <si>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</si>
  <si>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</si>
  <si>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</si>
  <si>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</si>
  <si>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</si>
  <si>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</si>
  <si>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</si>
  <si>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</si>
  <si>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</si>
  <si>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</si>
  <si>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</si>
  <si>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</si>
  <si>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</si>
  <si>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</si>
  <si>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</si>
  <si>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</si>
  <si>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</si>
  <si>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</si>
  <si>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</si>
  <si>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</si>
  <si>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</si>
  <si>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</si>
  <si>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</si>
  <si>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</si>
  <si>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</si>
  <si>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</si>
  <si>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</si>
  <si>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</si>
  <si>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</si>
  <si>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</si>
  <si>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</si>
  <si>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</si>
  <si>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</si>
  <si>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</si>
  <si>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</si>
  <si>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</si>
  <si>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</si>
  <si>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</si>
  <si>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</si>
  <si>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</si>
  <si>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</si>
  <si>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</si>
  <si>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</si>
  <si>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</si>
  <si>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</si>
  <si>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</si>
  <si>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</si>
  <si>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</si>
  <si>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</si>
  <si>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</si>
  <si>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</si>
  <si>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</si>
  <si>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</si>
  <si>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</si>
  <si>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</si>
  <si>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</si>
  <si>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</si>
  <si>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</si>
  <si>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</si>
  <si>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</si>
  <si>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</si>
  <si>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</si>
  <si>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</si>
  <si>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</si>
  <si>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</si>
  <si>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</si>
  <si>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</si>
  <si>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</si>
  <si>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</si>
  <si>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</si>
  <si>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</si>
  <si>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</si>
  <si>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</si>
  <si>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</si>
  <si>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</si>
  <si>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</si>
  <si>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</si>
  <si>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</si>
  <si>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</si>
  <si>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</si>
  <si>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</si>
  <si>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</si>
  <si>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</si>
  <si>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</si>
  <si>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</si>
  <si>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</si>
  <si>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</si>
  <si>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</si>
  <si>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</si>
  <si>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</si>
  <si>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</si>
  <si>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</si>
  <si>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</si>
  <si>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</si>
  <si>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</si>
  <si>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</si>
  <si>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</si>
  <si>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</si>
  <si>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</si>
  <si>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</si>
  <si>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</si>
  <si>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</si>
  <si>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</si>
  <si>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</si>
  <si>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</si>
  <si>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</si>
  <si>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</si>
  <si>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</si>
  <si>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</si>
  <si>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</si>
  <si>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</si>
  <si>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</si>
  <si>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</si>
  <si>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</si>
  <si>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</si>
  <si>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</si>
  <si>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</si>
  <si>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</si>
  <si>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</si>
  <si>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</si>
  <si>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</si>
  <si>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</si>
  <si>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</si>
  <si>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</si>
  <si>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</si>
  <si>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</si>
  <si>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</si>
  <si>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</si>
  <si>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</si>
  <si>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</si>
  <si>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</si>
  <si>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</si>
  <si>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</si>
  <si>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</si>
  <si>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</si>
  <si>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</si>
  <si>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</si>
  <si>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</si>
  <si>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</si>
  <si>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</si>
  <si>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</si>
  <si>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</si>
  <si>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</si>
  <si>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</si>
  <si>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</si>
  <si>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</si>
  <si>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</si>
  <si>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</si>
  <si>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</si>
  <si>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</si>
  <si>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</si>
  <si>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</si>
  <si>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</si>
  <si>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</si>
  <si>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</si>
  <si>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</si>
  <si>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</si>
  <si>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</si>
  <si>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</si>
  <si>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</si>
  <si>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</si>
  <si>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</si>
  <si>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</si>
  <si>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</si>
  <si>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</si>
  <si>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</si>
  <si>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</si>
  <si>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</si>
  <si>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</si>
  <si>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</si>
  <si>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</si>
  <si>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</si>
  <si>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</si>
  <si>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</si>
  <si>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</si>
  <si>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</si>
  <si>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</si>
  <si>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</si>
  <si>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</si>
  <si>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</si>
  <si>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</si>
  <si>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</si>
  <si>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</si>
  <si>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</si>
  <si>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</si>
  <si>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</si>
  <si>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</si>
  <si>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</si>
  <si>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</si>
  <si>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</si>
  <si>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</si>
  <si>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</si>
  <si>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</si>
  <si>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</si>
  <si>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</si>
  <si>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</si>
  <si>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</si>
  <si>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</si>
  <si>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</si>
  <si>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</si>
  <si>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</si>
  <si>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</si>
  <si>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</si>
  <si>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</si>
  <si>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</si>
  <si>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</si>
  <si>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</si>
  <si>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</si>
  <si>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</si>
  <si>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</si>
  <si>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</si>
  <si>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</si>
  <si>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</si>
  <si>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</si>
  <si>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</si>
  <si>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</si>
  <si>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</si>
  <si>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</si>
  <si>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</si>
  <si>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</si>
  <si>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</si>
  <si>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</si>
  <si>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</si>
  <si>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</si>
  <si>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</si>
  <si>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</si>
  <si>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</si>
  <si>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</si>
  <si>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</si>
  <si>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</si>
  <si>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</si>
  <si>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</si>
  <si>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</si>
  <si>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</si>
  <si>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</si>
  <si>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</si>
  <si>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</si>
  <si>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</si>
  <si>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</si>
  <si>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</si>
  <si>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</si>
  <si>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</si>
  <si>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</si>
  <si>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</si>
  <si>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</si>
  <si>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</si>
  <si>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</si>
  <si>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</si>
  <si>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</si>
  <si>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</si>
  <si>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</si>
  <si>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</si>
  <si>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</si>
  <si>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</si>
  <si>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</si>
  <si>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</si>
  <si>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</si>
  <si>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</si>
  <si>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</si>
  <si>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</si>
  <si>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</si>
  <si>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</si>
  <si>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</si>
  <si>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</si>
  <si>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</si>
  <si>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</si>
  <si>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</si>
  <si>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</si>
  <si>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</si>
  <si>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</si>
  <si>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</si>
  <si>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</si>
  <si>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</si>
  <si>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</si>
  <si>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</si>
  <si>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</si>
  <si>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</si>
  <si>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</si>
  <si>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</si>
  <si>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</si>
  <si>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</si>
  <si>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</si>
  <si>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</si>
  <si>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</si>
  <si>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</si>
  <si>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</si>
  <si>
    <t>RefreshAccessConnections</t>
  </si>
  <si>
    <t>g</t>
  </si>
  <si>
    <t>h</t>
  </si>
  <si>
    <t>r</t>
  </si>
  <si>
    <t>f</t>
  </si>
  <si>
    <t>j</t>
  </si>
  <si>
    <t>e</t>
  </si>
  <si>
    <t>w</t>
  </si>
  <si>
    <t>Range array element 1</t>
  </si>
  <si>
    <t>= ArrayElement(RangeToArray($M$137:$U$137), 1)</t>
  </si>
  <si>
    <t>= ArrayElement(RangeToArray($M$137:$U$137), 4)</t>
  </si>
  <si>
    <t>Range array element 2</t>
  </si>
  <si>
    <t>Range array element 3</t>
  </si>
  <si>
    <t>= ArrayElement(RangeToArray($U$137:$U$138), 2)</t>
  </si>
  <si>
    <t>Range array element 4</t>
  </si>
  <si>
    <t>= ArrayElement(RangeToArray($M$137:$U$138), 2, 4)</t>
  </si>
  <si>
    <t>String split 1</t>
  </si>
  <si>
    <t>= ArrayElement(StringSplit("abc,def,ghi", ","), 2)</t>
  </si>
  <si>
    <t>def</t>
  </si>
  <si>
    <t>= StringJoin(StringSplit("abc,def,ghi", ","), ":")</t>
  </si>
  <si>
    <t>abc:def:ghi</t>
  </si>
  <si>
    <t>New line</t>
  </si>
  <si>
    <t>= SUBSTITUTE(SUBSTITUTE(NewLine(), CHAR(10), "^J"), CHAR(13), "^M")</t>
  </si>
  <si>
    <t>^J</t>
  </si>
  <si>
    <t>= ColumnWidth(12)</t>
  </si>
  <si>
    <t>ColumnWidth 2</t>
  </si>
  <si>
    <t>ColumnWidth 1</t>
  </si>
  <si>
    <t>ColumnWidth 3</t>
  </si>
  <si>
    <t>= ColumnWidth(11)</t>
  </si>
  <si>
    <t>= ColumnWidth(13)</t>
  </si>
  <si>
    <t>RowHeight 1</t>
  </si>
  <si>
    <t>= RowHeight(1)</t>
  </si>
  <si>
    <t>GetFormula 1</t>
  </si>
  <si>
    <t>= ":" &amp; GetFormula(TotalTests)</t>
  </si>
  <si>
    <t>:= NumTestsPassing + NumTestsFailing</t>
  </si>
  <si>
    <t>= GetFormula(J2)</t>
  </si>
  <si>
    <t>GetFormula 2</t>
  </si>
  <si>
    <t>GetFormula 3</t>
  </si>
  <si>
    <t>= ":" &amp; GetFormula(G7)</t>
  </si>
  <si>
    <t>:= StringJoin(RangeToArray($O$13:$O$18), ",")</t>
  </si>
  <si>
    <t>GetExcelTable</t>
  </si>
  <si>
    <t>ExcelTable</t>
  </si>
  <si>
    <t>get ExcelTable.Name</t>
  </si>
  <si>
    <t>get ExcelTable.DataRowCount</t>
  </si>
  <si>
    <t>get ExcelTable.ListObject</t>
  </si>
  <si>
    <t>ExcelTable.Initialize</t>
  </si>
  <si>
    <t>ExcelTable.Resize</t>
  </si>
  <si>
    <t>ExcelTable.SetValues</t>
  </si>
  <si>
    <t>Col1</t>
  </si>
  <si>
    <t>Col2</t>
  </si>
  <si>
    <t>Col3</t>
  </si>
  <si>
    <t>Col4</t>
  </si>
  <si>
    <t>Test_ExcelTable_Name</t>
  </si>
  <si>
    <t>Get name</t>
  </si>
  <si>
    <t>Get nonexistent table</t>
  </si>
  <si>
    <t>Test_ExcelTable_Nonexistent</t>
  </si>
  <si>
    <t>Test_ExcelTable_DataRowCount</t>
  </si>
  <si>
    <t>Test_ExcelTable_GetSheetName</t>
  </si>
  <si>
    <t>Test_ExcelTable_Resize_1</t>
  </si>
  <si>
    <t>Get data row count</t>
  </si>
  <si>
    <t>Get worksheet name</t>
  </si>
  <si>
    <t>TblTest1</t>
  </si>
  <si>
    <t>Error 32000: Could not find table 'TblTestZZZ'.</t>
  </si>
  <si>
    <t>Tables</t>
  </si>
  <si>
    <t>Resize and get data range info 1</t>
  </si>
  <si>
    <t>Resize and get data range info 2</t>
  </si>
  <si>
    <t>Resize and get data range info 3</t>
  </si>
  <si>
    <t>Test_ExcelTable_Resize_0</t>
  </si>
  <si>
    <t>Test_ExcelTable_Resize_5</t>
  </si>
  <si>
    <t>$F$5:$I$5|1</t>
  </si>
  <si>
    <t>$F$5:$I$9|5</t>
  </si>
  <si>
    <t>abcd</t>
  </si>
  <si>
    <t>efgh</t>
  </si>
  <si>
    <t>ijkl</t>
  </si>
  <si>
    <t>mnop</t>
  </si>
  <si>
    <t>qrst</t>
  </si>
  <si>
    <t>uvwx</t>
  </si>
  <si>
    <t>yzab</t>
  </si>
  <si>
    <t>cdef</t>
  </si>
  <si>
    <t>ghij</t>
  </si>
  <si>
    <t>klmn</t>
  </si>
  <si>
    <t>Test contents 1</t>
  </si>
  <si>
    <t>Test contents 2</t>
  </si>
  <si>
    <t>Test contents 3</t>
  </si>
  <si>
    <t>Test contents 4</t>
  </si>
  <si>
    <t>Test_ExcelTable_GetValuesAndSurroundingContents</t>
  </si>
  <si>
    <t>:////qrst:////uvwx:////yzab:////cdef:////ghij:abcd/efgh/ijkl/mnop/klmn</t>
  </si>
  <si>
    <t>Resize and get data range info 4</t>
  </si>
  <si>
    <t>Resize and get data range info 5</t>
  </si>
  <si>
    <t>Test contents 5</t>
  </si>
  <si>
    <t>Set values 1</t>
  </si>
  <si>
    <t>Test_ExcelTable_SetValues_1</t>
  </si>
  <si>
    <t>:a12/b34/c56/d78/qrst:f12/g34/h56/i78/uvwx:k12/l34/m56/n78/yzab:p12/q34/r56/s78/cdef:u12/v34/w56/x78/ghij:abcd/efgh/ijkl/mnop/klmn</t>
  </si>
  <si>
    <t>Set values 2</t>
  </si>
  <si>
    <t>Set values 3</t>
  </si>
  <si>
    <t>Test_ExcelTable_SetValues_2</t>
  </si>
  <si>
    <t>Test_ExcelTable_SetValues_3</t>
  </si>
  <si>
    <t>:a12/ab1/cd2/d78/qrst:f12/ef3/gh4/i78/uvwx:k12/ij5/kl6/n78/yzab:p12/q34/r56/s78/cdef:u12/v34/w56/x78/ghij:abcd/efgh/ijkl/mnop/klmn</t>
  </si>
  <si>
    <t>:ab123/cd456/cd2/d78/qrst:ef789/gh012/gh4/i78/uvwx:ij345/kl678/kl6/n78/yzab:////cdef:////ghij:abcd/efgh/ijkl/mnop/klmn</t>
  </si>
  <si>
    <t>ExcelTable.Clear</t>
  </si>
  <si>
    <t>Clear</t>
  </si>
  <si>
    <t>Test_ExcelTable_Clear</t>
  </si>
  <si>
    <t>Set values 4</t>
  </si>
  <si>
    <t>Test_ExcelTable_SetValues_4</t>
  </si>
  <si>
    <t>y</t>
  </si>
  <si>
    <t>ExcelTable.Sort</t>
  </si>
  <si>
    <t>Sort 1</t>
  </si>
  <si>
    <t>Test_ExcelTable_Sort_1</t>
  </si>
  <si>
    <t>:a/x/3/1/qrst:a/y/1/2/uvwx:a/x/2/3/yzab:b/y/2/1/cdef:b/x/1/1/ghij:abcd/efgh/ijkl/mnop/klmn</t>
  </si>
  <si>
    <t>:a/x/2/3/qrst:a/x/3/1/uvwx:a/y/1/2/yzab:b/x/1/1/cdef:b/y/2/1/ghij:abcd/efgh/ijkl/mnop/klmn</t>
  </si>
  <si>
    <t>Error 32000: When sorting a table, the column specifiers must be an array.</t>
  </si>
  <si>
    <t>:b/x/1/1/qrst:a/x/3/1/uvwx:a/x/2/3/yzab:b/y/2/1/cdef:a/y/1/2/ghij:abcd/efgh/ijkl/mnop/klmn</t>
  </si>
  <si>
    <t>Sort 2</t>
  </si>
  <si>
    <t>Test_ExcelTable_Sort_2</t>
  </si>
  <si>
    <t>ExcelTable.ClearSort</t>
  </si>
  <si>
    <t>get ExcelTable.CellValue</t>
  </si>
  <si>
    <t>set ExcelTable.CellValue</t>
  </si>
  <si>
    <t>get ExcelTable.ColumnRange</t>
  </si>
  <si>
    <t>ExcelTable.GetValues</t>
  </si>
  <si>
    <t>Test_ExcelTable_Sort_Error1</t>
  </si>
  <si>
    <t>Sort error 1</t>
  </si>
  <si>
    <t>Sort error 2</t>
  </si>
  <si>
    <t>Test_ExcelTable_Sort_Error2</t>
  </si>
  <si>
    <t>Error 32000: Table 'TblTest1' does not contain a column 'ColNonexistent'.</t>
  </si>
  <si>
    <t>Get value 1</t>
  </si>
  <si>
    <t>Test_ExcelTable_GetValue_1</t>
  </si>
  <si>
    <t>Test_ExcelTable_GetValue_2</t>
  </si>
  <si>
    <t>Test_ExcelTable_GetValue_3</t>
  </si>
  <si>
    <t>Get value 2</t>
  </si>
  <si>
    <t>Get value 3</t>
  </si>
  <si>
    <t>Set value 1</t>
  </si>
  <si>
    <t>Set value 2</t>
  </si>
  <si>
    <t>Set value 3</t>
  </si>
  <si>
    <t>Test_ExcelTable_SetValue_1</t>
  </si>
  <si>
    <t>Test_ExcelTable_SetValue_2</t>
  </si>
  <si>
    <t>Test_ExcelTable_SetValue_3</t>
  </si>
  <si>
    <t>P</t>
  </si>
  <si>
    <t>Q</t>
  </si>
  <si>
    <t>R</t>
  </si>
  <si>
    <t>Get values 1</t>
  </si>
  <si>
    <t>Test_ExcelTable_GetValues_1</t>
  </si>
  <si>
    <t>:b|x|1|1:a|x|3|1:a|x|2|P:b|R|2|1:Q|y|1|2</t>
  </si>
  <si>
    <t>Get values 2</t>
  </si>
  <si>
    <t>Get values 3</t>
  </si>
  <si>
    <t>Get values 4</t>
  </si>
  <si>
    <t>Get values 5</t>
  </si>
  <si>
    <t>Get values 6</t>
  </si>
  <si>
    <t>Test_ExcelTable_GetValues_2</t>
  </si>
  <si>
    <t>Test_ExcelTable_GetValues_3</t>
  </si>
  <si>
    <t>Test_ExcelTable_GetValues_4</t>
  </si>
  <si>
    <t>Test_ExcelTable_GetValues_5</t>
  </si>
  <si>
    <t>Test_ExcelTable_GetValues_6</t>
  </si>
  <si>
    <t>:b|x|1:a|x|3:a|x|2:b|R|2:Q|y|1</t>
  </si>
  <si>
    <t>:1|1:3|1:2|P:2|1:1|2</t>
  </si>
  <si>
    <t>:1:1:P:1:2</t>
  </si>
  <si>
    <t>:x|1:x|3:x|2:R|2:y|1</t>
  </si>
  <si>
    <t>ExcelTable.CreateNamedRanges</t>
  </si>
  <si>
    <t>Create named ranges</t>
  </si>
  <si>
    <t>Test_ExcelTable_CreateNamedRanges</t>
  </si>
  <si>
    <t>F5:F9|G5:G9|H5:H9|I5:I9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</si>
</sst>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99090432"/>
        <c:axId val="99092736"/>
      </c:barChart>
      <c:catAx>
        <c:axId val="99090432"/>
        <c:scaling>
          <c:orientation val="minMax"/>
        </c:scaling>
        <c:axPos val="b"/>
        <c:tickLblPos val="nextTo"/>
        <c:crossAx val="99092736"/>
        <c:crosses val="autoZero"/>
        <c:auto val="1"/>
        <c:lblAlgn val="ctr"/>
        <c:lblOffset val="100"/>
      </c:catAx>
      <c:valAx>
        <c:axId val="99092736"/>
        <c:scaling>
          <c:orientation val="minMax"/>
        </c:scaling>
        <c:axPos val="l"/>
        <c:majorGridlines/>
        <c:numFmt formatCode="General" sourceLinked="1"/>
        <c:tickLblPos val="nextTo"/>
        <c:crossAx val="9909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94" totalsRowShown="0" headerRowDxfId="3">
  <autoFilter ref="A1:E94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Test1" displayName="TblTest1" ref="F4:I9" totalsRowShown="0">
  <autoFilter ref="F4:I9"/>
  <sortState ref="F5:I9">
    <sortCondition ref="G5:G9"/>
    <sortCondition descending="1" ref="F5:F9"/>
    <sortCondition ref="I5:I9"/>
  </sortState>
  <tableColumns count="4">
    <tableColumn id="1" name="Col1"/>
    <tableColumn id="2" name="Col2"/>
    <tableColumn id="3" name="Col3"/>
    <tableColumn id="4" name="Col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_Tests">
    <tabColor rgb="FFFFFF00"/>
    <pageSetUpPr autoPageBreaks="0"/>
  </sheetPr>
  <dimension ref="A1:W189"/>
  <sheetViews>
    <sheetView tabSelected="1" topLeftCell="B1" zoomScale="85" zoomScaleNormal="85" workbookViewId="0">
      <pane ySplit="5" topLeftCell="A156" activePane="bottomLeft" state="frozen"/>
      <selection activeCell="A6" sqref="A6"/>
      <selection pane="bottomLeft" activeCell="G189" sqref="G189"/>
    </sheetView>
  </sheetViews>
  <sheetFormatPr defaultRowHeight="15"/>
  <cols>
    <col min="1" max="1" width="33.42578125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145</v>
      </c>
      <c r="J2" s="44" t="s">
        <v>58</v>
      </c>
      <c r="K2" s="35">
        <f xml:space="preserve"> COUNTIF(TestChecks, "PASS")</f>
        <v>145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189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8" si="3" xml:space="preserve"> IF(H123 = I123, "PASS", "FAIL")</f>
        <v>PASS</v>
      </c>
    </row>
    <row r="124" spans="1:10">
      <c r="A124" t="s">
        <v>298</v>
      </c>
      <c r="B124" t="b">
        <f xml:space="preserve"> NOT(ISNA(MATCH(A124, TblCoverage[Function], 0)))</f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22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22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22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22">
      <c r="A132" t="s">
        <v>300</v>
      </c>
      <c r="B132" t="b">
        <f xml:space="preserve"> NOT(ISNA(MATCH(A132, TblCoverage[Function], 0)))</f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22">
      <c r="A133" t="s">
        <v>302</v>
      </c>
      <c r="B133" t="b">
        <f xml:space="preserve"> NOT(ISNA(MATCH(A133, TblCoverage[Function], 0)))</f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22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  <row r="135" spans="1:22" ht="15.75" thickBot="1"/>
    <row r="136" spans="1:22">
      <c r="A136" t="s">
        <v>26</v>
      </c>
      <c r="B136" t="b">
        <f xml:space="preserve"> NOT(ISNA(MATCH(A136, TblCoverage[Function], 0)))</f>
        <v>1</v>
      </c>
      <c r="C136" t="s">
        <v>52</v>
      </c>
      <c r="E136" t="s">
        <v>25</v>
      </c>
      <c r="F136" t="s">
        <v>344</v>
      </c>
      <c r="G136" s="40" t="s">
        <v>345</v>
      </c>
      <c r="H136">
        <v>6</v>
      </c>
      <c r="I136">
        <v>6</v>
      </c>
      <c r="J136" s="32" t="str">
        <f t="shared" si="3"/>
        <v>PASS</v>
      </c>
      <c r="L136" s="10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1:22">
      <c r="A137" t="s">
        <v>51</v>
      </c>
      <c r="B137" t="b">
        <f xml:space="preserve"> NOT(ISNA(MATCH(A137, TblCoverage[Function], 0)))</f>
        <v>1</v>
      </c>
      <c r="C137" t="s">
        <v>52</v>
      </c>
      <c r="E137" t="s">
        <v>25</v>
      </c>
      <c r="F137" t="s">
        <v>347</v>
      </c>
      <c r="G137" s="40" t="s">
        <v>346</v>
      </c>
      <c r="H137" t="s">
        <v>338</v>
      </c>
      <c r="I137" t="s">
        <v>338</v>
      </c>
      <c r="J137" s="32" t="str">
        <f t="shared" si="3"/>
        <v>PASS</v>
      </c>
      <c r="L137" s="13"/>
      <c r="M137" s="23">
        <v>6</v>
      </c>
      <c r="N137" s="24">
        <v>5</v>
      </c>
      <c r="O137" s="24" t="s">
        <v>337</v>
      </c>
      <c r="P137" s="24" t="s">
        <v>338</v>
      </c>
      <c r="Q137" s="24">
        <v>8</v>
      </c>
      <c r="R137" s="24" t="s">
        <v>54</v>
      </c>
      <c r="S137" s="24">
        <v>3</v>
      </c>
      <c r="T137" s="24" t="s">
        <v>339</v>
      </c>
      <c r="U137" s="25" t="s">
        <v>340</v>
      </c>
      <c r="V137" s="15"/>
    </row>
    <row r="138" spans="1:22">
      <c r="A138" t="s">
        <v>27</v>
      </c>
      <c r="B138" t="b">
        <f xml:space="preserve"> NOT(ISNA(MATCH(A138, TblCoverage[Function], 0)))</f>
        <v>1</v>
      </c>
      <c r="C138" t="s">
        <v>52</v>
      </c>
      <c r="E138" t="s">
        <v>25</v>
      </c>
      <c r="F138" t="s">
        <v>348</v>
      </c>
      <c r="G138" s="40" t="s">
        <v>349</v>
      </c>
      <c r="H138" t="s">
        <v>45</v>
      </c>
      <c r="I138" t="s">
        <v>45</v>
      </c>
      <c r="J138" s="32" t="str">
        <f t="shared" si="3"/>
        <v>PASS</v>
      </c>
      <c r="L138" s="13"/>
      <c r="M138" s="23">
        <v>8</v>
      </c>
      <c r="N138" s="24" t="s">
        <v>341</v>
      </c>
      <c r="O138" s="24">
        <v>4</v>
      </c>
      <c r="P138" s="24" t="s">
        <v>342</v>
      </c>
      <c r="Q138" s="24" t="s">
        <v>343</v>
      </c>
      <c r="R138" s="24">
        <v>9</v>
      </c>
      <c r="S138" s="24">
        <v>2</v>
      </c>
      <c r="T138" s="24" t="s">
        <v>46</v>
      </c>
      <c r="U138" s="25" t="s">
        <v>45</v>
      </c>
      <c r="V138" s="15"/>
    </row>
    <row r="139" spans="1:22" ht="15.75" thickBot="1">
      <c r="A139" t="s">
        <v>63</v>
      </c>
      <c r="B139" t="b">
        <f xml:space="preserve"> NOT(ISNA(MATCH(A139, TblCoverage[Function], 0)))</f>
        <v>1</v>
      </c>
      <c r="C139" t="s">
        <v>52</v>
      </c>
      <c r="E139" t="s">
        <v>25</v>
      </c>
      <c r="F139" t="s">
        <v>350</v>
      </c>
      <c r="G139" s="40" t="s">
        <v>351</v>
      </c>
      <c r="H139" t="s">
        <v>342</v>
      </c>
      <c r="I139" t="s">
        <v>342</v>
      </c>
      <c r="J139" s="32" t="str">
        <f t="shared" ref="J139:J143" si="4" xml:space="preserve"> IF(H139 = I139, "PASS", "FAIL")</f>
        <v>PASS</v>
      </c>
      <c r="L139" s="17"/>
      <c r="M139" s="18"/>
      <c r="N139" s="18"/>
      <c r="O139" s="18"/>
      <c r="P139" s="18"/>
      <c r="Q139" s="18"/>
      <c r="R139" s="18"/>
      <c r="S139" s="18"/>
      <c r="T139" s="18"/>
      <c r="U139" s="18"/>
      <c r="V139" s="19"/>
    </row>
    <row r="140" spans="1:22">
      <c r="A140" t="s">
        <v>30</v>
      </c>
      <c r="B140" t="b">
        <f xml:space="preserve"> NOT(ISNA(MATCH(A140, TblCoverage[Function], 0)))</f>
        <v>1</v>
      </c>
      <c r="C140" t="s">
        <v>52</v>
      </c>
      <c r="E140" t="s">
        <v>25</v>
      </c>
      <c r="F140" t="s">
        <v>352</v>
      </c>
      <c r="G140" s="40" t="s">
        <v>353</v>
      </c>
      <c r="H140" t="s">
        <v>354</v>
      </c>
      <c r="I140" t="s">
        <v>354</v>
      </c>
      <c r="J140" s="32" t="str">
        <f t="shared" si="4"/>
        <v>PASS</v>
      </c>
    </row>
    <row r="141" spans="1:22">
      <c r="A141" t="s">
        <v>28</v>
      </c>
      <c r="B141" t="b">
        <f xml:space="preserve"> NOT(ISNA(MATCH(A141, TblCoverage[Function], 0)))</f>
        <v>1</v>
      </c>
      <c r="C141" t="s">
        <v>52</v>
      </c>
      <c r="E141" t="s">
        <v>25</v>
      </c>
      <c r="F141" t="s">
        <v>352</v>
      </c>
      <c r="G141" s="40" t="s">
        <v>355</v>
      </c>
      <c r="H141" t="s">
        <v>356</v>
      </c>
      <c r="I141" t="s">
        <v>356</v>
      </c>
      <c r="J141" s="32" t="str">
        <f t="shared" si="4"/>
        <v>PASS</v>
      </c>
    </row>
    <row r="142" spans="1:22">
      <c r="A142" t="s">
        <v>29</v>
      </c>
      <c r="B142" t="b">
        <f xml:space="preserve"> NOT(ISNA(MATCH(A142, TblCoverage[Function], 0)))</f>
        <v>1</v>
      </c>
      <c r="C142" t="s">
        <v>52</v>
      </c>
      <c r="E142" t="s">
        <v>25</v>
      </c>
      <c r="F142" t="s">
        <v>357</v>
      </c>
      <c r="G142" s="40" t="s">
        <v>358</v>
      </c>
      <c r="H142" s="51" t="s">
        <v>359</v>
      </c>
      <c r="I142" t="s">
        <v>359</v>
      </c>
      <c r="J142" s="32" t="str">
        <f t="shared" si="4"/>
        <v>PASS</v>
      </c>
    </row>
    <row r="143" spans="1:22">
      <c r="A143" t="s">
        <v>149</v>
      </c>
      <c r="B143" t="b">
        <f xml:space="preserve"> NOT(ISNA(MATCH(A143, TblCoverage[Function], 0)))</f>
        <v>1</v>
      </c>
      <c r="C143" t="s">
        <v>52</v>
      </c>
      <c r="E143" t="s">
        <v>25</v>
      </c>
      <c r="F143" t="s">
        <v>362</v>
      </c>
      <c r="G143" s="40" t="s">
        <v>364</v>
      </c>
      <c r="H143">
        <v>48</v>
      </c>
      <c r="I143">
        <v>48</v>
      </c>
      <c r="J143" s="32" t="str">
        <f t="shared" si="4"/>
        <v>PASS</v>
      </c>
    </row>
    <row r="144" spans="1:22">
      <c r="E144" t="s">
        <v>25</v>
      </c>
      <c r="F144" t="s">
        <v>361</v>
      </c>
      <c r="G144" s="40" t="s">
        <v>360</v>
      </c>
      <c r="H144">
        <v>15.75</v>
      </c>
      <c r="I144">
        <v>15.75</v>
      </c>
      <c r="J144" s="32" t="str">
        <f t="shared" ref="J144:J148" si="5" xml:space="preserve"> IF(H144 = I144, "PASS", "FAIL")</f>
        <v>PASS</v>
      </c>
    </row>
    <row r="145" spans="1:10">
      <c r="E145" t="s">
        <v>25</v>
      </c>
      <c r="F145" t="s">
        <v>363</v>
      </c>
      <c r="G145" s="40" t="s">
        <v>365</v>
      </c>
      <c r="H145">
        <v>15.75</v>
      </c>
      <c r="I145">
        <v>15.75</v>
      </c>
      <c r="J145" s="32" t="str">
        <f t="shared" si="5"/>
        <v>PASS</v>
      </c>
    </row>
    <row r="146" spans="1:10">
      <c r="E146" t="s">
        <v>25</v>
      </c>
      <c r="F146" t="s">
        <v>366</v>
      </c>
      <c r="G146" s="40" t="s">
        <v>367</v>
      </c>
      <c r="H146">
        <v>15.75</v>
      </c>
      <c r="I146">
        <v>15.75</v>
      </c>
      <c r="J146" s="32" t="str">
        <f t="shared" si="5"/>
        <v>PASS</v>
      </c>
    </row>
    <row r="147" spans="1:10">
      <c r="E147" t="s">
        <v>25</v>
      </c>
      <c r="F147" t="s">
        <v>368</v>
      </c>
      <c r="G147" s="40" t="s">
        <v>369</v>
      </c>
      <c r="H147" t="s">
        <v>370</v>
      </c>
      <c r="I147" t="s">
        <v>370</v>
      </c>
      <c r="J147" s="32" t="str">
        <f t="shared" si="5"/>
        <v>PASS</v>
      </c>
    </row>
    <row r="148" spans="1:10">
      <c r="E148" t="s">
        <v>25</v>
      </c>
      <c r="F148" t="s">
        <v>372</v>
      </c>
      <c r="G148" s="40" t="s">
        <v>371</v>
      </c>
      <c r="H148" t="s">
        <v>58</v>
      </c>
      <c r="I148" t="s">
        <v>58</v>
      </c>
      <c r="J148" s="32" t="str">
        <f t="shared" si="5"/>
        <v>PASS</v>
      </c>
    </row>
    <row r="149" spans="1:10">
      <c r="E149" t="s">
        <v>25</v>
      </c>
      <c r="F149" t="s">
        <v>373</v>
      </c>
      <c r="G149" s="40" t="s">
        <v>374</v>
      </c>
      <c r="H149" t="s">
        <v>375</v>
      </c>
      <c r="I149" t="s">
        <v>375</v>
      </c>
      <c r="J149" s="32" t="str">
        <f t="shared" ref="J149:J160" si="6" xml:space="preserve"> IF(H149 = I149, "PASS", "FAIL")</f>
        <v>PASS</v>
      </c>
    </row>
    <row r="151" spans="1:10">
      <c r="A151" t="s">
        <v>376</v>
      </c>
      <c r="B151" t="b">
        <f xml:space="preserve"> NOT(ISNA(MATCH(A151, TblCoverage[Function], 0)))</f>
        <v>1</v>
      </c>
      <c r="C151" t="s">
        <v>55</v>
      </c>
      <c r="E151" t="s">
        <v>377</v>
      </c>
      <c r="F151" t="s">
        <v>389</v>
      </c>
      <c r="G151" t="s">
        <v>388</v>
      </c>
      <c r="H151" t="s">
        <v>397</v>
      </c>
      <c r="I151" t="s">
        <v>397</v>
      </c>
      <c r="J151" s="32" t="str">
        <f t="shared" si="6"/>
        <v>PASS</v>
      </c>
    </row>
    <row r="152" spans="1:10">
      <c r="A152" t="s">
        <v>378</v>
      </c>
      <c r="B152" t="b">
        <f xml:space="preserve"> NOT(ISNA(MATCH(A152, TblCoverage[Function], 0)))</f>
        <v>1</v>
      </c>
      <c r="C152" t="s">
        <v>52</v>
      </c>
      <c r="E152" t="s">
        <v>377</v>
      </c>
      <c r="F152" t="s">
        <v>390</v>
      </c>
      <c r="G152" t="s">
        <v>391</v>
      </c>
      <c r="H152" t="s">
        <v>398</v>
      </c>
      <c r="I152" t="s">
        <v>398</v>
      </c>
      <c r="J152" s="32" t="str">
        <f t="shared" si="6"/>
        <v>PASS</v>
      </c>
    </row>
    <row r="153" spans="1:10">
      <c r="A153" t="s">
        <v>379</v>
      </c>
      <c r="B153" t="b">
        <f xml:space="preserve"> NOT(ISNA(MATCH(A153, TblCoverage[Function], 0)))</f>
        <v>1</v>
      </c>
      <c r="C153" t="s">
        <v>52</v>
      </c>
      <c r="E153" t="s">
        <v>377</v>
      </c>
      <c r="F153" t="s">
        <v>396</v>
      </c>
      <c r="G153" t="s">
        <v>393</v>
      </c>
      <c r="H153" t="s">
        <v>399</v>
      </c>
      <c r="I153" t="s">
        <v>399</v>
      </c>
      <c r="J153" s="32" t="str">
        <f t="shared" si="6"/>
        <v>PASS</v>
      </c>
    </row>
    <row r="154" spans="1:10">
      <c r="A154" t="s">
        <v>380</v>
      </c>
      <c r="B154" t="b">
        <f xml:space="preserve"> NOT(ISNA(MATCH(A154, TblCoverage[Function], 0)))</f>
        <v>1</v>
      </c>
      <c r="C154" t="s">
        <v>55</v>
      </c>
      <c r="E154" t="s">
        <v>377</v>
      </c>
      <c r="F154" t="s">
        <v>400</v>
      </c>
      <c r="G154" t="s">
        <v>403</v>
      </c>
      <c r="H154" t="s">
        <v>405</v>
      </c>
      <c r="I154" t="s">
        <v>405</v>
      </c>
      <c r="J154" s="32" t="str">
        <f t="shared" si="6"/>
        <v>PASS</v>
      </c>
    </row>
    <row r="155" spans="1:10">
      <c r="A155" t="s">
        <v>381</v>
      </c>
      <c r="B155" t="b">
        <f xml:space="preserve"> NOT(ISNA(MATCH(A155, TblCoverage[Function], 0)))</f>
        <v>1</v>
      </c>
      <c r="C155" t="s">
        <v>55</v>
      </c>
      <c r="E155" t="s">
        <v>377</v>
      </c>
      <c r="F155" t="s">
        <v>417</v>
      </c>
      <c r="G155" s="40" t="s">
        <v>421</v>
      </c>
      <c r="H155" t="s">
        <v>422</v>
      </c>
      <c r="I155" t="s">
        <v>422</v>
      </c>
      <c r="J155" s="32" t="str">
        <f t="shared" si="6"/>
        <v>PASS</v>
      </c>
    </row>
    <row r="156" spans="1:10">
      <c r="A156" t="s">
        <v>382</v>
      </c>
      <c r="B156" t="b">
        <f xml:space="preserve"> NOT(ISNA(MATCH(A156, TblCoverage[Function], 0)))</f>
        <v>1</v>
      </c>
      <c r="C156" t="s">
        <v>52</v>
      </c>
      <c r="E156" t="s">
        <v>377</v>
      </c>
      <c r="F156" t="s">
        <v>401</v>
      </c>
      <c r="G156" t="s">
        <v>394</v>
      </c>
      <c r="H156" t="s">
        <v>405</v>
      </c>
      <c r="I156" t="s">
        <v>405</v>
      </c>
      <c r="J156" s="32" t="str">
        <f t="shared" si="6"/>
        <v>PASS</v>
      </c>
    </row>
    <row r="157" spans="1:10">
      <c r="A157" t="s">
        <v>383</v>
      </c>
      <c r="B157" t="b">
        <f xml:space="preserve"> NOT(ISNA(MATCH(A157, TblCoverage[Function], 0)))</f>
        <v>1</v>
      </c>
      <c r="C157" t="s">
        <v>52</v>
      </c>
      <c r="E157" t="s">
        <v>377</v>
      </c>
      <c r="F157" t="s">
        <v>418</v>
      </c>
      <c r="G157" s="40" t="s">
        <v>421</v>
      </c>
      <c r="H157" t="s">
        <v>422</v>
      </c>
      <c r="I157" t="s">
        <v>422</v>
      </c>
      <c r="J157" s="32" t="str">
        <f t="shared" si="6"/>
        <v>PASS</v>
      </c>
    </row>
    <row r="158" spans="1:10">
      <c r="A158" t="s">
        <v>435</v>
      </c>
      <c r="B158" t="b">
        <f xml:space="preserve"> NOT(ISNA(MATCH(A158, TblCoverage[Function], 0)))</f>
        <v>1</v>
      </c>
      <c r="C158" t="s">
        <v>52</v>
      </c>
      <c r="E158" t="s">
        <v>377</v>
      </c>
      <c r="F158" t="s">
        <v>402</v>
      </c>
      <c r="G158" t="s">
        <v>404</v>
      </c>
      <c r="H158" t="s">
        <v>406</v>
      </c>
      <c r="I158" t="s">
        <v>406</v>
      </c>
      <c r="J158" s="32" t="str">
        <f t="shared" si="6"/>
        <v>PASS</v>
      </c>
    </row>
    <row r="159" spans="1:10">
      <c r="A159" t="s">
        <v>441</v>
      </c>
      <c r="B159" t="b">
        <f xml:space="preserve"> NOT(ISNA(MATCH(A159, TblCoverage[Function], 0)))</f>
        <v>1</v>
      </c>
      <c r="C159" t="s">
        <v>52</v>
      </c>
      <c r="E159" t="s">
        <v>377</v>
      </c>
      <c r="F159" t="s">
        <v>419</v>
      </c>
      <c r="G159" s="40" t="s">
        <v>421</v>
      </c>
      <c r="H159" t="s">
        <v>422</v>
      </c>
      <c r="I159" t="s">
        <v>422</v>
      </c>
      <c r="J159" s="32" t="str">
        <f t="shared" si="6"/>
        <v>PASS</v>
      </c>
    </row>
    <row r="160" spans="1:10">
      <c r="A160" t="s">
        <v>450</v>
      </c>
      <c r="B160" t="b">
        <f xml:space="preserve"> NOT(ISNA(MATCH(A160, TblCoverage[Function], 0)))</f>
        <v>1</v>
      </c>
      <c r="C160" t="s">
        <v>55</v>
      </c>
      <c r="E160" t="s">
        <v>377</v>
      </c>
      <c r="F160" t="s">
        <v>395</v>
      </c>
      <c r="G160" t="s">
        <v>392</v>
      </c>
      <c r="H160">
        <v>5</v>
      </c>
      <c r="I160">
        <v>5</v>
      </c>
      <c r="J160" s="2" t="str">
        <f t="shared" si="6"/>
        <v>PASS</v>
      </c>
    </row>
    <row r="161" spans="1:10">
      <c r="A161" t="s">
        <v>453</v>
      </c>
      <c r="B161" t="b">
        <f xml:space="preserve"> NOT(ISNA(MATCH(A161, TblCoverage[Function], 0)))</f>
        <v>1</v>
      </c>
      <c r="C161" t="s">
        <v>55</v>
      </c>
      <c r="E161" t="s">
        <v>377</v>
      </c>
      <c r="F161" t="s">
        <v>423</v>
      </c>
      <c r="G161" t="s">
        <v>403</v>
      </c>
      <c r="H161" t="s">
        <v>405</v>
      </c>
      <c r="I161" t="s">
        <v>405</v>
      </c>
      <c r="J161" s="32" t="str">
        <f t="shared" ref="J161:J165" si="7" xml:space="preserve"> IF(H161 = I161, "PASS", "FAIL")</f>
        <v>PASS</v>
      </c>
    </row>
    <row r="162" spans="1:10">
      <c r="A162" t="s">
        <v>451</v>
      </c>
      <c r="B162" t="b">
        <f xml:space="preserve"> NOT(ISNA(MATCH(A162, TblCoverage[Function], 0)))</f>
        <v>1</v>
      </c>
      <c r="C162" t="s">
        <v>52</v>
      </c>
      <c r="E162" t="s">
        <v>377</v>
      </c>
      <c r="F162" t="s">
        <v>420</v>
      </c>
      <c r="G162" s="40" t="s">
        <v>421</v>
      </c>
      <c r="H162" t="s">
        <v>422</v>
      </c>
      <c r="I162" t="s">
        <v>422</v>
      </c>
      <c r="J162" s="32" t="str">
        <f t="shared" si="7"/>
        <v>PASS</v>
      </c>
    </row>
    <row r="163" spans="1:10">
      <c r="A163" t="s">
        <v>452</v>
      </c>
      <c r="B163" t="b">
        <f xml:space="preserve"> NOT(ISNA(MATCH(A163, TblCoverage[Function], 0)))</f>
        <v>1</v>
      </c>
      <c r="C163" t="s">
        <v>52</v>
      </c>
      <c r="E163" t="s">
        <v>377</v>
      </c>
      <c r="F163" t="s">
        <v>424</v>
      </c>
      <c r="G163" t="s">
        <v>404</v>
      </c>
      <c r="H163" t="s">
        <v>406</v>
      </c>
      <c r="I163" t="s">
        <v>406</v>
      </c>
      <c r="J163" s="32" t="str">
        <f t="shared" si="7"/>
        <v>PASS</v>
      </c>
    </row>
    <row r="164" spans="1:10">
      <c r="A164" t="s">
        <v>454</v>
      </c>
      <c r="B164" t="b">
        <f xml:space="preserve"> NOT(ISNA(MATCH(A164, TblCoverage[Function], 0)))</f>
        <v>1</v>
      </c>
      <c r="C164" t="s">
        <v>52</v>
      </c>
      <c r="E164" t="s">
        <v>377</v>
      </c>
      <c r="F164" t="s">
        <v>425</v>
      </c>
      <c r="G164" s="40" t="s">
        <v>421</v>
      </c>
      <c r="H164" t="s">
        <v>422</v>
      </c>
      <c r="I164" t="s">
        <v>422</v>
      </c>
      <c r="J164" s="32" t="str">
        <f t="shared" si="7"/>
        <v>PASS</v>
      </c>
    </row>
    <row r="165" spans="1:10">
      <c r="A165" t="s">
        <v>492</v>
      </c>
      <c r="B165" t="b">
        <f xml:space="preserve"> NOT(ISNA(MATCH(A165, TblCoverage[Function], 0)))</f>
        <v>1</v>
      </c>
      <c r="C165" t="s">
        <v>52</v>
      </c>
      <c r="E165" t="s">
        <v>377</v>
      </c>
      <c r="F165" t="s">
        <v>426</v>
      </c>
      <c r="G165" t="s">
        <v>427</v>
      </c>
      <c r="H165" t="s">
        <v>428</v>
      </c>
      <c r="I165" t="s">
        <v>428</v>
      </c>
      <c r="J165" s="32" t="str">
        <f t="shared" si="7"/>
        <v>PASS</v>
      </c>
    </row>
    <row r="166" spans="1:10">
      <c r="E166" t="s">
        <v>377</v>
      </c>
      <c r="F166" t="s">
        <v>429</v>
      </c>
      <c r="G166" t="s">
        <v>431</v>
      </c>
      <c r="H166" t="s">
        <v>433</v>
      </c>
      <c r="I166" t="s">
        <v>433</v>
      </c>
      <c r="J166" s="32" t="str">
        <f t="shared" ref="J166:J168" si="8" xml:space="preserve"> IF(H166 = I166, "PASS", "FAIL")</f>
        <v>PASS</v>
      </c>
    </row>
    <row r="167" spans="1:10">
      <c r="E167" t="s">
        <v>377</v>
      </c>
      <c r="F167" t="s">
        <v>430</v>
      </c>
      <c r="G167" t="s">
        <v>432</v>
      </c>
      <c r="H167" t="s">
        <v>434</v>
      </c>
      <c r="I167" t="s">
        <v>434</v>
      </c>
      <c r="J167" s="32" t="str">
        <f t="shared" si="8"/>
        <v>PASS</v>
      </c>
    </row>
    <row r="168" spans="1:10">
      <c r="E168" t="s">
        <v>377</v>
      </c>
      <c r="F168" t="s">
        <v>436</v>
      </c>
      <c r="G168" t="s">
        <v>437</v>
      </c>
      <c r="H168" t="s">
        <v>405</v>
      </c>
      <c r="I168" t="s">
        <v>405</v>
      </c>
      <c r="J168" s="32" t="str">
        <f t="shared" si="8"/>
        <v>PASS</v>
      </c>
    </row>
    <row r="169" spans="1:10">
      <c r="E169" t="s">
        <v>377</v>
      </c>
      <c r="F169" t="s">
        <v>438</v>
      </c>
      <c r="G169" t="s">
        <v>439</v>
      </c>
      <c r="H169" t="s">
        <v>444</v>
      </c>
      <c r="I169" t="s">
        <v>444</v>
      </c>
      <c r="J169" s="32" t="str">
        <f t="shared" ref="J169:J170" si="9" xml:space="preserve"> IF(H169 = I169, "PASS", "FAIL")</f>
        <v>PASS</v>
      </c>
    </row>
    <row r="170" spans="1:10">
      <c r="E170" t="s">
        <v>377</v>
      </c>
      <c r="F170" t="s">
        <v>456</v>
      </c>
      <c r="G170" t="s">
        <v>455</v>
      </c>
      <c r="H170" t="s">
        <v>446</v>
      </c>
      <c r="I170" t="s">
        <v>446</v>
      </c>
      <c r="J170" s="32" t="str">
        <f t="shared" si="9"/>
        <v>PASS</v>
      </c>
    </row>
    <row r="171" spans="1:10">
      <c r="E171" t="s">
        <v>377</v>
      </c>
      <c r="F171" t="s">
        <v>457</v>
      </c>
      <c r="G171" t="s">
        <v>458</v>
      </c>
      <c r="H171" t="s">
        <v>459</v>
      </c>
      <c r="I171" t="s">
        <v>459</v>
      </c>
      <c r="J171" s="32" t="str">
        <f t="shared" ref="J171" si="10" xml:space="preserve"> IF(H171 = I171, "PASS", "FAIL")</f>
        <v>PASS</v>
      </c>
    </row>
    <row r="172" spans="1:10">
      <c r="E172" t="s">
        <v>377</v>
      </c>
      <c r="F172" t="s">
        <v>442</v>
      </c>
      <c r="G172" t="s">
        <v>443</v>
      </c>
      <c r="H172" t="s">
        <v>445</v>
      </c>
      <c r="I172" t="s">
        <v>445</v>
      </c>
      <c r="J172" s="32" t="str">
        <f t="shared" ref="J172:J174" si="11" xml:space="preserve"> IF(H172 = I172, "PASS", "FAIL")</f>
        <v>PASS</v>
      </c>
    </row>
    <row r="173" spans="1:10">
      <c r="E173" t="s">
        <v>377</v>
      </c>
      <c r="F173" t="s">
        <v>448</v>
      </c>
      <c r="G173" t="s">
        <v>449</v>
      </c>
      <c r="H173" t="s">
        <v>447</v>
      </c>
      <c r="I173" t="s">
        <v>447</v>
      </c>
      <c r="J173" s="32" t="str">
        <f t="shared" si="11"/>
        <v>PASS</v>
      </c>
    </row>
    <row r="174" spans="1:10">
      <c r="E174" t="s">
        <v>377</v>
      </c>
      <c r="F174" t="s">
        <v>460</v>
      </c>
      <c r="G174" t="s">
        <v>461</v>
      </c>
      <c r="H174">
        <v>3</v>
      </c>
      <c r="I174">
        <v>3</v>
      </c>
      <c r="J174" s="32" t="str">
        <f t="shared" si="11"/>
        <v>PASS</v>
      </c>
    </row>
    <row r="175" spans="1:10">
      <c r="E175" t="s">
        <v>377</v>
      </c>
      <c r="F175" t="s">
        <v>464</v>
      </c>
      <c r="G175" t="s">
        <v>462</v>
      </c>
      <c r="H175" t="s">
        <v>44</v>
      </c>
      <c r="I175" t="s">
        <v>44</v>
      </c>
      <c r="J175" s="32" t="str">
        <f t="shared" ref="J175" si="12" xml:space="preserve"> IF(H175 = I175, "PASS", "FAIL")</f>
        <v>PASS</v>
      </c>
    </row>
    <row r="176" spans="1:10">
      <c r="E176" t="s">
        <v>377</v>
      </c>
      <c r="F176" t="s">
        <v>465</v>
      </c>
      <c r="G176" t="s">
        <v>463</v>
      </c>
      <c r="H176" t="s">
        <v>440</v>
      </c>
      <c r="I176" t="s">
        <v>440</v>
      </c>
      <c r="J176" s="32" t="str">
        <f t="shared" ref="J176:J178" si="13" xml:space="preserve"> IF(H176 = I176, "PASS", "FAIL")</f>
        <v>PASS</v>
      </c>
    </row>
    <row r="177" spans="5:10">
      <c r="E177" t="s">
        <v>377</v>
      </c>
      <c r="F177" t="s">
        <v>466</v>
      </c>
      <c r="G177" t="s">
        <v>469</v>
      </c>
      <c r="H177" t="s">
        <v>125</v>
      </c>
      <c r="I177" t="s">
        <v>125</v>
      </c>
      <c r="J177" s="32" t="str">
        <f t="shared" si="13"/>
        <v>PASS</v>
      </c>
    </row>
    <row r="178" spans="5:10">
      <c r="E178" t="s">
        <v>377</v>
      </c>
      <c r="F178" t="s">
        <v>467</v>
      </c>
      <c r="G178" t="s">
        <v>470</v>
      </c>
      <c r="H178" t="s">
        <v>125</v>
      </c>
      <c r="I178" t="s">
        <v>125</v>
      </c>
      <c r="J178" s="32" t="str">
        <f t="shared" si="13"/>
        <v>PASS</v>
      </c>
    </row>
    <row r="179" spans="5:10">
      <c r="E179" t="s">
        <v>377</v>
      </c>
      <c r="F179" t="s">
        <v>468</v>
      </c>
      <c r="G179" t="s">
        <v>471</v>
      </c>
      <c r="H179" t="s">
        <v>125</v>
      </c>
      <c r="I179" t="s">
        <v>125</v>
      </c>
      <c r="J179" s="32" t="str">
        <f t="shared" ref="J179" si="14" xml:space="preserve"> IF(H179 = I179, "PASS", "FAIL")</f>
        <v>PASS</v>
      </c>
    </row>
    <row r="180" spans="5:10">
      <c r="E180" t="s">
        <v>377</v>
      </c>
      <c r="F180" t="s">
        <v>460</v>
      </c>
      <c r="G180" t="s">
        <v>461</v>
      </c>
      <c r="H180" t="s">
        <v>472</v>
      </c>
      <c r="I180" t="s">
        <v>472</v>
      </c>
      <c r="J180" s="32" t="str">
        <f t="shared" ref="J180:J189" si="15" xml:space="preserve"> IF(H180 = I180, "PASS", "FAIL")</f>
        <v>PASS</v>
      </c>
    </row>
    <row r="181" spans="5:10">
      <c r="E181" t="s">
        <v>377</v>
      </c>
      <c r="F181" t="s">
        <v>464</v>
      </c>
      <c r="G181" t="s">
        <v>462</v>
      </c>
      <c r="H181" t="s">
        <v>473</v>
      </c>
      <c r="I181" t="s">
        <v>473</v>
      </c>
      <c r="J181" s="32" t="str">
        <f t="shared" si="15"/>
        <v>PASS</v>
      </c>
    </row>
    <row r="182" spans="5:10">
      <c r="E182" t="s">
        <v>377</v>
      </c>
      <c r="F182" t="s">
        <v>465</v>
      </c>
      <c r="G182" t="s">
        <v>463</v>
      </c>
      <c r="H182" t="s">
        <v>474</v>
      </c>
      <c r="I182" t="s">
        <v>474</v>
      </c>
      <c r="J182" s="32" t="str">
        <f t="shared" si="15"/>
        <v>PASS</v>
      </c>
    </row>
    <row r="183" spans="5:10">
      <c r="E183" t="s">
        <v>377</v>
      </c>
      <c r="F183" t="s">
        <v>475</v>
      </c>
      <c r="G183" t="s">
        <v>476</v>
      </c>
      <c r="H183" t="s">
        <v>477</v>
      </c>
      <c r="I183" t="s">
        <v>477</v>
      </c>
      <c r="J183" s="32" t="str">
        <f t="shared" si="15"/>
        <v>PASS</v>
      </c>
    </row>
    <row r="184" spans="5:10">
      <c r="E184" t="s">
        <v>377</v>
      </c>
      <c r="F184" t="s">
        <v>478</v>
      </c>
      <c r="G184" t="s">
        <v>483</v>
      </c>
      <c r="H184" t="s">
        <v>488</v>
      </c>
      <c r="I184" t="s">
        <v>488</v>
      </c>
      <c r="J184" s="32" t="str">
        <f t="shared" si="15"/>
        <v>PASS</v>
      </c>
    </row>
    <row r="185" spans="5:10">
      <c r="E185" t="s">
        <v>377</v>
      </c>
      <c r="F185" t="s">
        <v>479</v>
      </c>
      <c r="G185" t="s">
        <v>484</v>
      </c>
      <c r="H185" t="s">
        <v>489</v>
      </c>
      <c r="I185" t="s">
        <v>489</v>
      </c>
      <c r="J185" s="32" t="str">
        <f t="shared" si="15"/>
        <v>PASS</v>
      </c>
    </row>
    <row r="186" spans="5:10">
      <c r="E186" t="s">
        <v>377</v>
      </c>
      <c r="F186" t="s">
        <v>480</v>
      </c>
      <c r="G186" t="s">
        <v>485</v>
      </c>
      <c r="H186" t="s">
        <v>488</v>
      </c>
      <c r="I186" t="s">
        <v>488</v>
      </c>
      <c r="J186" s="32" t="str">
        <f t="shared" si="15"/>
        <v>PASS</v>
      </c>
    </row>
    <row r="187" spans="5:10">
      <c r="E187" t="s">
        <v>377</v>
      </c>
      <c r="F187" t="s">
        <v>481</v>
      </c>
      <c r="G187" t="s">
        <v>486</v>
      </c>
      <c r="H187" t="s">
        <v>490</v>
      </c>
      <c r="I187" t="s">
        <v>490</v>
      </c>
      <c r="J187" s="32" t="str">
        <f t="shared" si="15"/>
        <v>PASS</v>
      </c>
    </row>
    <row r="188" spans="5:10">
      <c r="E188" t="s">
        <v>377</v>
      </c>
      <c r="F188" t="s">
        <v>482</v>
      </c>
      <c r="G188" t="s">
        <v>487</v>
      </c>
      <c r="H188" t="s">
        <v>491</v>
      </c>
      <c r="I188" t="s">
        <v>491</v>
      </c>
      <c r="J188" s="32" t="str">
        <f t="shared" si="15"/>
        <v>PASS</v>
      </c>
    </row>
    <row r="189" spans="5:10">
      <c r="E189" t="s">
        <v>377</v>
      </c>
      <c r="F189" t="s">
        <v>493</v>
      </c>
      <c r="G189" t="s">
        <v>494</v>
      </c>
      <c r="H189" t="s">
        <v>495</v>
      </c>
      <c r="I189" t="s">
        <v>495</v>
      </c>
      <c r="J189" s="32" t="str">
        <f t="shared" si="15"/>
        <v>PASS</v>
      </c>
    </row>
  </sheetData>
  <conditionalFormatting sqref="E107:G109 I109 E98:G105 F111:F120 E122:G123 A128:B128 F128:G128 A126:A127 B125:B130 A7:B123 A130:B10020">
    <cfRule type="expression" dxfId="15" priority="14">
      <formula xml:space="preserve"> ""&amp;$B7 = "FALSE"</formula>
    </cfRule>
  </conditionalFormatting>
  <conditionalFormatting sqref="J7:J10024">
    <cfRule type="cellIs" dxfId="14" priority="15" operator="equal">
      <formula>"FAIL"</formula>
    </cfRule>
    <cfRule type="cellIs" dxfId="13" priority="16" operator="equal">
      <formula>"PASS"</formula>
    </cfRule>
  </conditionalFormatting>
  <conditionalFormatting sqref="E111:E120">
    <cfRule type="expression" dxfId="12" priority="12">
      <formula xml:space="preserve"> ""&amp;$B111 = "FALSE"</formula>
    </cfRule>
  </conditionalFormatting>
  <conditionalFormatting sqref="F130:G130">
    <cfRule type="expression" dxfId="11" priority="26">
      <formula xml:space="preserve"> ""&amp;#REF! = "FALSE"</formula>
    </cfRule>
  </conditionalFormatting>
  <conditionalFormatting sqref="G130">
    <cfRule type="expression" dxfId="10" priority="53">
      <formula xml:space="preserve"> ""&amp;$B132 = "FALSE"</formula>
    </cfRule>
  </conditionalFormatting>
  <conditionalFormatting sqref="G131">
    <cfRule type="expression" dxfId="9" priority="57">
      <formula xml:space="preserve"> ""&amp;#REF! = "FALSE"</formula>
    </cfRule>
  </conditionalFormatting>
  <conditionalFormatting sqref="E124:G124">
    <cfRule type="expression" dxfId="8" priority="68">
      <formula xml:space="preserve"> ""&amp;$B131 = "FALSE"</formula>
    </cfRule>
  </conditionalFormatting>
  <conditionalFormatting sqref="F125">
    <cfRule type="expression" dxfId="7" priority="69">
      <formula xml:space="preserve"> ""&amp;$B130 = "FALSE"</formula>
    </cfRule>
  </conditionalFormatting>
  <conditionalFormatting sqref="F126:G127">
    <cfRule type="expression" dxfId="6" priority="70">
      <formula xml:space="preserve"> ""&amp;$B129 = "FALSE"</formula>
    </cfRule>
  </conditionalFormatting>
  <conditionalFormatting sqref="B124">
    <cfRule type="expression" dxfId="5" priority="1">
      <formula xml:space="preserve"> ""&amp;$B124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_Coverage">
    <tabColor rgb="FFFFFF00"/>
  </sheetPr>
  <dimension ref="A1:H94"/>
  <sheetViews>
    <sheetView workbookViewId="0"/>
  </sheetViews>
  <sheetFormatPr defaultRowHeight="15"/>
  <cols>
    <col min="1" max="1" width="17" bestFit="1" customWidth="1"/>
    <col min="2" max="2" width="30.2851562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59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34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</v>
      </c>
      <c r="B8" t="s">
        <v>328</v>
      </c>
      <c r="C8" s="38">
        <f xml:space="preserve"> COUNTIFS(Tests!$A:$A,[Function], Tests!$C:$C,"Direct")</f>
        <v>0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0</v>
      </c>
    </row>
    <row r="9" spans="1:8">
      <c r="A9" t="s">
        <v>295</v>
      </c>
      <c r="B9" t="s">
        <v>296</v>
      </c>
      <c r="C9" s="38">
        <f xml:space="preserve"> COUNTIFS(Tests!$A:$A,[Function], Tests!$C:$C,"Direct")</f>
        <v>1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1</v>
      </c>
    </row>
    <row r="10" spans="1:8">
      <c r="A10" t="s">
        <v>295</v>
      </c>
      <c r="B10" t="s">
        <v>297</v>
      </c>
      <c r="C10" s="38">
        <f xml:space="preserve"> COUNTIFS(Tests!$A:$A,[Function], Tests!$C:$C,"Direct")</f>
        <v>1</v>
      </c>
      <c r="D10" s="38">
        <f xml:space="preserve"> COUNTIFS(Tests!$A:$A,[Function], Tests!$C:$C,"Indirect")</f>
        <v>0</v>
      </c>
      <c r="E10" s="38" t="b">
        <f xml:space="preserve"> [Direct Tests] + [Indirect Tests] &gt; 0</f>
        <v>1</v>
      </c>
    </row>
    <row r="11" spans="1:8">
      <c r="A11" t="s">
        <v>295</v>
      </c>
      <c r="B11" t="s">
        <v>298</v>
      </c>
      <c r="C11" s="38">
        <f xml:space="preserve"> COUNTIFS(Tests!$A:$A,[Function], Tests!$C:$C,"Direct")</f>
        <v>0</v>
      </c>
      <c r="D11" s="38">
        <f xml:space="preserve"> COUNTIFS(Tests!$A:$A,[Function], Tests!$C:$C,"Indirect")</f>
        <v>1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299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302</v>
      </c>
      <c r="C13" s="38">
        <f xml:space="preserve"> COUNTIFS(Tests!$A:$A,[Function], Tests!$C:$C,"Direct")</f>
        <v>1</v>
      </c>
      <c r="D13" s="38">
        <f xml:space="preserve"> COUNTIFS(Tests!$A:$A,[Function], Tests!$C:$C,"Indirect")</f>
        <v>0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300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295</v>
      </c>
      <c r="B15" t="s">
        <v>301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7</v>
      </c>
      <c r="B16" t="s">
        <v>8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7</v>
      </c>
      <c r="B17" t="s">
        <v>9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7</v>
      </c>
      <c r="B18" t="s">
        <v>219</v>
      </c>
      <c r="C18" s="38">
        <f xml:space="preserve"> COUNTIFS(Tests!$A:$A,[Function], Tests!$C:$C,"Direct")</f>
        <v>1</v>
      </c>
      <c r="D18" s="38">
        <f xml:space="preserve"> COUNTIFS(Tests!$A:$A,[Function], Tests!$C:$C,"Indirect")</f>
        <v>0</v>
      </c>
      <c r="E18" s="38" t="b">
        <f xml:space="preserve"> [Direct Tests] + [Indirect Tests] &gt; 0</f>
        <v>1</v>
      </c>
    </row>
    <row r="19" spans="1:5">
      <c r="A19" t="s">
        <v>7</v>
      </c>
      <c r="B19" t="s">
        <v>85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7</v>
      </c>
      <c r="B20" t="s">
        <v>86</v>
      </c>
      <c r="C20" s="38">
        <f xml:space="preserve"> COUNTIFS(Tests!$A:$A,[Function], Tests!$C:$C,"Direct")</f>
        <v>1</v>
      </c>
      <c r="D20" s="38">
        <f xml:space="preserve"> COUNTIFS(Tests!$A:$A,[Function], Tests!$C:$C,"Indirect")</f>
        <v>0</v>
      </c>
      <c r="E20" s="38" t="b">
        <f xml:space="preserve"> [Direct Tests] + [Indirect Tests] &gt; 0</f>
        <v>1</v>
      </c>
    </row>
    <row r="21" spans="1:5">
      <c r="A21" t="s">
        <v>7</v>
      </c>
      <c r="B21" t="s">
        <v>87</v>
      </c>
      <c r="C21" s="38">
        <f xml:space="preserve"> COUNTIFS(Tests!$A:$A,[Function], Tests!$C:$C,"Direct")</f>
        <v>1</v>
      </c>
      <c r="D21" s="38">
        <f xml:space="preserve"> COUNTIFS(Tests!$A:$A,[Function], Tests!$C:$C,"Indirect")</f>
        <v>0</v>
      </c>
      <c r="E21" s="38" t="b">
        <f xml:space="preserve"> [Direct Tests] + [Indirect Tests] &gt; 0</f>
        <v>1</v>
      </c>
    </row>
    <row r="22" spans="1:5">
      <c r="A22" t="s">
        <v>7</v>
      </c>
      <c r="B22" t="s">
        <v>88</v>
      </c>
      <c r="C22" s="38">
        <f xml:space="preserve"> COUNTIFS(Tests!$A:$A,[Function], Tests!$C:$C,"Direct")</f>
        <v>1</v>
      </c>
      <c r="D22" s="38">
        <f xml:space="preserve"> COUNTIFS(Tests!$A:$A,[Function], Tests!$C:$C,"Indirect")</f>
        <v>0</v>
      </c>
      <c r="E22" s="38" t="b">
        <f xml:space="preserve"> [Direct Tests] + [Indirect Tests] &gt; 0</f>
        <v>1</v>
      </c>
    </row>
    <row r="23" spans="1:5">
      <c r="A23" t="s">
        <v>7</v>
      </c>
      <c r="B23" t="s">
        <v>329</v>
      </c>
      <c r="C23" s="38">
        <f xml:space="preserve"> COUNTIFS(Tests!$A:$A,[Function], Tests!$C:$C,"Direct")</f>
        <v>0</v>
      </c>
      <c r="D23" s="38">
        <f xml:space="preserve"> COUNTIFS(Tests!$A:$A,[Function], Tests!$C:$C,"Indirect")</f>
        <v>0</v>
      </c>
      <c r="E23" s="38" t="b">
        <f xml:space="preserve"> [Direct Tests] + [Indirect Tests] &gt; 0</f>
        <v>0</v>
      </c>
    </row>
    <row r="24" spans="1:5">
      <c r="A24" t="s">
        <v>7</v>
      </c>
      <c r="B24" t="s">
        <v>10</v>
      </c>
      <c r="C24" s="38">
        <f xml:space="preserve"> COUNTIFS(Tests!$A:$A,[Function], Tests!$C:$C,"Direct")</f>
        <v>1</v>
      </c>
      <c r="D24" s="38">
        <f xml:space="preserve"> COUNTIFS(Tests!$A:$A,[Function], Tests!$C:$C,"Indirect")</f>
        <v>0</v>
      </c>
      <c r="E24" s="38" t="b">
        <f xml:space="preserve"> [Direct Tests] + [Indirect Tests] &gt; 0</f>
        <v>1</v>
      </c>
    </row>
    <row r="25" spans="1:5">
      <c r="A25" t="s">
        <v>7</v>
      </c>
      <c r="B25" t="s">
        <v>11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0</v>
      </c>
      <c r="E25" s="38" t="b">
        <f xml:space="preserve"> [Direct Tests] + [Indirect Tests] &gt; 0</f>
        <v>1</v>
      </c>
    </row>
    <row r="26" spans="1:5">
      <c r="A26" t="s">
        <v>7</v>
      </c>
      <c r="B26" t="s">
        <v>12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7</v>
      </c>
      <c r="B27" t="s">
        <v>13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1</v>
      </c>
      <c r="E27" s="38" t="b">
        <f xml:space="preserve"> [Direct Tests] + [Indirect Tests] &gt; 0</f>
        <v>1</v>
      </c>
    </row>
    <row r="28" spans="1:5">
      <c r="A28" t="s">
        <v>7</v>
      </c>
      <c r="B28" t="s">
        <v>14</v>
      </c>
      <c r="C28" s="38">
        <f xml:space="preserve"> COUNTIFS(Tests!$A:$A,[Function], Tests!$C:$C,"Direct")</f>
        <v>1</v>
      </c>
      <c r="D28" s="38">
        <f xml:space="preserve"> COUNTIFS(Tests!$A:$A,[Function], Tests!$C:$C,"Indirect")</f>
        <v>0</v>
      </c>
      <c r="E28" s="38" t="b">
        <f xml:space="preserve"> [Direct Tests] + [Indirect Tests] &gt; 0</f>
        <v>1</v>
      </c>
    </row>
    <row r="29" spans="1:5">
      <c r="A29" t="s">
        <v>7</v>
      </c>
      <c r="B29" t="s">
        <v>335</v>
      </c>
      <c r="C29" s="38">
        <f xml:space="preserve"> COUNTIFS(Tests!$A:$A,[Function], Tests!$C:$C,"Direct")</f>
        <v>0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0</v>
      </c>
    </row>
    <row r="30" spans="1:5">
      <c r="A30" t="s">
        <v>7</v>
      </c>
      <c r="B30" t="s">
        <v>89</v>
      </c>
      <c r="C30" s="38">
        <f xml:space="preserve"> COUNTIFS(Tests!$A:$A,[Function], Tests!$C:$C,"Direct")</f>
        <v>1</v>
      </c>
      <c r="D30" s="38">
        <f xml:space="preserve"> COUNTIFS(Tests!$A:$A,[Function], Tests!$C:$C,"Indirect")</f>
        <v>0</v>
      </c>
      <c r="E30" s="38" t="b">
        <f xml:space="preserve"> [Direct Tests] + [Indirect Tests] &gt; 0</f>
        <v>1</v>
      </c>
    </row>
    <row r="31" spans="1:5">
      <c r="A31" t="s">
        <v>7</v>
      </c>
      <c r="B31" t="s">
        <v>90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100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7</v>
      </c>
      <c r="B33" t="s">
        <v>292</v>
      </c>
      <c r="C33" s="38">
        <f xml:space="preserve"> COUNTIFS(Tests!$A:$A,[Function], Tests!$C:$C,"Direct")</f>
        <v>1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1</v>
      </c>
    </row>
    <row r="34" spans="1:5">
      <c r="A34" t="s">
        <v>7</v>
      </c>
      <c r="B34" t="s">
        <v>293</v>
      </c>
      <c r="C34" s="38">
        <f xml:space="preserve"> COUNTIFS(Tests!$A:$A,[Function], Tests!$C:$C,"Direct")</f>
        <v>1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1</v>
      </c>
    </row>
    <row r="35" spans="1:5">
      <c r="A35" t="s">
        <v>7</v>
      </c>
      <c r="B35" t="s">
        <v>294</v>
      </c>
      <c r="C35" s="38">
        <f xml:space="preserve"> COUNTIFS(Tests!$A:$A,[Function], Tests!$C:$C,"Direct")</f>
        <v>1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1</v>
      </c>
    </row>
    <row r="36" spans="1:5">
      <c r="A36" t="s">
        <v>7</v>
      </c>
      <c r="B36" t="s">
        <v>336</v>
      </c>
      <c r="C36" s="38">
        <f xml:space="preserve"> COUNTIFS(Tests!$A:$A,[Function], Tests!$C:$C,"Direct")</f>
        <v>0</v>
      </c>
      <c r="D36" s="38">
        <f xml:space="preserve"> COUNTIFS(Tests!$A:$A,[Function], Tests!$C:$C,"Indirect")</f>
        <v>0</v>
      </c>
      <c r="E36" s="38" t="b">
        <f xml:space="preserve"> [Direct Tests] + [Indirect Tests] &gt; 0</f>
        <v>0</v>
      </c>
    </row>
    <row r="37" spans="1:5">
      <c r="A37" t="s">
        <v>7</v>
      </c>
      <c r="B37" t="s">
        <v>376</v>
      </c>
      <c r="C37" s="38">
        <f xml:space="preserve"> COUNTIFS(Tests!$A:$A,[Function], Tests!$C:$C,"Direct")</f>
        <v>0</v>
      </c>
      <c r="D37" s="38">
        <f xml:space="preserve"> COUNTIFS(Tests!$A:$A,[Function], Tests!$C:$C,"Indirect")</f>
        <v>1</v>
      </c>
      <c r="E37" s="38" t="b">
        <f xml:space="preserve"> [Direct Tests] + [Indirect Tests] &gt; 0</f>
        <v>1</v>
      </c>
    </row>
    <row r="38" spans="1:5">
      <c r="A38" t="s">
        <v>15</v>
      </c>
      <c r="B38" t="s">
        <v>17</v>
      </c>
      <c r="C38" s="38">
        <f xml:space="preserve"> COUNTIFS(Tests!$A:$A,[Function], Tests!$C:$C,"Direct")</f>
        <v>0</v>
      </c>
      <c r="D38" s="38">
        <f xml:space="preserve"> COUNTIFS(Tests!$A:$A,[Function], Tests!$C:$C,"Indirect")</f>
        <v>0</v>
      </c>
      <c r="E38" s="38" t="b">
        <f xml:space="preserve"> [Direct Tests] + [Indirect Tests] &gt; 0</f>
        <v>0</v>
      </c>
    </row>
    <row r="39" spans="1:5">
      <c r="A39" t="s">
        <v>15</v>
      </c>
      <c r="B39" t="s">
        <v>16</v>
      </c>
      <c r="C39" s="38">
        <f xml:space="preserve"> COUNTIFS(Tests!$A:$A,[Function], Tests!$C:$C,"Direct")</f>
        <v>0</v>
      </c>
      <c r="D39" s="38">
        <f xml:space="preserve"> COUNTIFS(Tests!$A:$A,[Function], Tests!$C:$C,"Indirect")</f>
        <v>0</v>
      </c>
      <c r="E39" s="38" t="b">
        <f xml:space="preserve"> [Direct Tests] + [Indirect Tests] &gt; 0</f>
        <v>0</v>
      </c>
    </row>
    <row r="40" spans="1:5">
      <c r="A40" t="s">
        <v>15</v>
      </c>
      <c r="B40" t="s">
        <v>220</v>
      </c>
      <c r="C40" s="38">
        <f xml:space="preserve"> COUNTIFS(Tests!$A:$A,[Function], Tests!$C:$C,"Direct")</f>
        <v>0</v>
      </c>
      <c r="D40" s="38">
        <f xml:space="preserve"> COUNTIFS(Tests!$A:$A,[Function], Tests!$C:$C,"Indirect")</f>
        <v>0</v>
      </c>
      <c r="E40" s="38" t="b">
        <f xml:space="preserve"> [Direct Tests] + [Indirect Tests] &gt; 0</f>
        <v>0</v>
      </c>
    </row>
    <row r="41" spans="1:5">
      <c r="A41" t="s">
        <v>15</v>
      </c>
      <c r="B41" t="s">
        <v>18</v>
      </c>
      <c r="C41" s="38">
        <f xml:space="preserve"> COUNTIFS(Tests!$A:$A,[Function], Tests!$C:$C,"Direct")</f>
        <v>0</v>
      </c>
      <c r="D41" s="38">
        <f xml:space="preserve"> COUNTIFS(Tests!$A:$A,[Function], Tests!$C:$C,"Indirect")</f>
        <v>1</v>
      </c>
      <c r="E41" s="38" t="b">
        <f xml:space="preserve"> [Direct Tests] + [Indirect Tests] &gt; 0</f>
        <v>1</v>
      </c>
    </row>
    <row r="42" spans="1:5">
      <c r="A42" t="s">
        <v>15</v>
      </c>
      <c r="B42" t="s">
        <v>19</v>
      </c>
      <c r="C42" s="38">
        <f xml:space="preserve"> COUNTIFS(Tests!$A:$A,[Function], Tests!$C:$C,"Direct")</f>
        <v>0</v>
      </c>
      <c r="D42" s="38">
        <f xml:space="preserve"> COUNTIFS(Tests!$A:$A,[Function], Tests!$C:$C,"Indirect")</f>
        <v>0</v>
      </c>
      <c r="E42" s="38" t="b">
        <f xml:space="preserve"> [Direct Tests] + [Indirect Tests] &gt; 0</f>
        <v>0</v>
      </c>
    </row>
    <row r="43" spans="1:5">
      <c r="A43" t="s">
        <v>15</v>
      </c>
      <c r="B43" t="s">
        <v>20</v>
      </c>
      <c r="C43" s="38">
        <f xml:space="preserve"> COUNTIFS(Tests!$A:$A,[Function], Tests!$C:$C,"Direct")</f>
        <v>0</v>
      </c>
      <c r="D43" s="38">
        <f xml:space="preserve"> COUNTIFS(Tests!$A:$A,[Function], Tests!$C:$C,"Indirect")</f>
        <v>1</v>
      </c>
      <c r="E43" s="38" t="b">
        <f xml:space="preserve"> [Direct Tests] + [Indirect Tests] &gt; 0</f>
        <v>1</v>
      </c>
    </row>
    <row r="44" spans="1:5">
      <c r="A44" t="s">
        <v>15</v>
      </c>
      <c r="B44" t="s">
        <v>21</v>
      </c>
      <c r="C44" s="38">
        <f xml:space="preserve"> COUNTIFS(Tests!$A:$A,[Function], Tests!$C:$C,"Direct")</f>
        <v>0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0</v>
      </c>
    </row>
    <row r="45" spans="1:5">
      <c r="A45" t="s">
        <v>15</v>
      </c>
      <c r="B45" t="s">
        <v>22</v>
      </c>
      <c r="C45" s="38">
        <f xml:space="preserve"> COUNTIFS(Tests!$A:$A,[Function], Tests!$C:$C,"Direct")</f>
        <v>0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0</v>
      </c>
    </row>
    <row r="46" spans="1:5">
      <c r="A46" t="s">
        <v>15</v>
      </c>
      <c r="B46" t="s">
        <v>23</v>
      </c>
      <c r="C46" s="38">
        <f xml:space="preserve"> COUNTIFS(Tests!$A:$A,[Function], Tests!$C:$C,"Direct")</f>
        <v>0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0</v>
      </c>
    </row>
    <row r="47" spans="1:5">
      <c r="A47" t="s">
        <v>15</v>
      </c>
      <c r="B47" t="s">
        <v>24</v>
      </c>
      <c r="C47" s="38">
        <f xml:space="preserve"> COUNTIFS(Tests!$A:$A,[Function], Tests!$C:$C,"Direct")</f>
        <v>0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0</v>
      </c>
    </row>
    <row r="48" spans="1:5">
      <c r="A48" t="s">
        <v>43</v>
      </c>
      <c r="B48" t="s">
        <v>91</v>
      </c>
      <c r="C48" s="38">
        <f xml:space="preserve"> COUNTIFS(Tests!$A:$A,[Function], Tests!$C:$C,"Direct")</f>
        <v>0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0</v>
      </c>
    </row>
    <row r="49" spans="1:5">
      <c r="A49" t="s">
        <v>43</v>
      </c>
      <c r="B49" t="s">
        <v>92</v>
      </c>
      <c r="C49" s="38">
        <f xml:space="preserve"> COUNTIFS(Tests!$A:$A,[Function], Tests!$C:$C,"Direct")</f>
        <v>0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0</v>
      </c>
    </row>
    <row r="50" spans="1:5">
      <c r="A50" t="s">
        <v>43</v>
      </c>
      <c r="B50" t="s">
        <v>93</v>
      </c>
      <c r="C50" s="38">
        <f xml:space="preserve"> COUNTIFS(Tests!$A:$A,[Function], Tests!$C:$C,"Direct")</f>
        <v>0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0</v>
      </c>
    </row>
    <row r="51" spans="1:5">
      <c r="A51" t="s">
        <v>43</v>
      </c>
      <c r="B51" t="s">
        <v>94</v>
      </c>
      <c r="C51" s="38">
        <f xml:space="preserve"> COUNTIFS(Tests!$A:$A,[Function], Tests!$C:$C,"Direct")</f>
        <v>0</v>
      </c>
      <c r="D51" s="38">
        <f xml:space="preserve"> COUNTIFS(Tests!$A:$A,[Function], Tests!$C:$C,"Indirect")</f>
        <v>1</v>
      </c>
      <c r="E51" s="38" t="b">
        <f xml:space="preserve"> [Direct Tests] + [Indirect Tests] &gt; 0</f>
        <v>1</v>
      </c>
    </row>
    <row r="52" spans="1:5">
      <c r="A52" t="s">
        <v>43</v>
      </c>
      <c r="B52" t="s">
        <v>95</v>
      </c>
      <c r="C52" s="38">
        <f xml:space="preserve"> COUNTIFS(Tests!$A:$A,[Function], Tests!$C:$C,"Direct")</f>
        <v>0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0</v>
      </c>
    </row>
    <row r="53" spans="1:5">
      <c r="A53" t="s">
        <v>43</v>
      </c>
      <c r="B53" t="s">
        <v>53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1</v>
      </c>
      <c r="E53" s="38" t="b">
        <f xml:space="preserve"> [Direct Tests] + [Indirect Tests] &gt; 0</f>
        <v>1</v>
      </c>
    </row>
    <row r="54" spans="1:5">
      <c r="A54" t="s">
        <v>43</v>
      </c>
      <c r="B54" t="s">
        <v>96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43</v>
      </c>
      <c r="B55" t="s">
        <v>97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0</v>
      </c>
      <c r="E55" s="38" t="b">
        <f xml:space="preserve"> [Direct Tests] + [Indirect Tests] &gt; 0</f>
        <v>0</v>
      </c>
    </row>
    <row r="56" spans="1:5">
      <c r="A56" t="s">
        <v>43</v>
      </c>
      <c r="B56" t="s">
        <v>98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43</v>
      </c>
      <c r="B57" s="14" t="s">
        <v>99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0</v>
      </c>
      <c r="E57" s="39" t="b">
        <f xml:space="preserve"> [Direct Tests] + [Indirect Tests] &gt; 0</f>
        <v>0</v>
      </c>
    </row>
    <row r="58" spans="1:5">
      <c r="A58" s="14" t="s">
        <v>330</v>
      </c>
      <c r="B58" s="14" t="s">
        <v>331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0</v>
      </c>
      <c r="E58" s="39" t="b">
        <f xml:space="preserve"> [Direct Tests] + [Indirect Tests] &gt; 0</f>
        <v>0</v>
      </c>
    </row>
    <row r="59" spans="1:5">
      <c r="A59" s="14" t="s">
        <v>330</v>
      </c>
      <c r="B59" s="14" t="s">
        <v>332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0</v>
      </c>
      <c r="E59" s="39" t="b">
        <f xml:space="preserve"> [Direct Tests] + [Indirect Tests] &gt; 0</f>
        <v>0</v>
      </c>
    </row>
    <row r="60" spans="1:5">
      <c r="A60" t="s">
        <v>330</v>
      </c>
      <c r="B60" t="s">
        <v>333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0</v>
      </c>
      <c r="E60" s="38" t="b">
        <f xml:space="preserve"> [Direct Tests] + [Indirect Tests] &gt; 0</f>
        <v>0</v>
      </c>
    </row>
    <row r="61" spans="1:5">
      <c r="A61" s="14" t="s">
        <v>330</v>
      </c>
      <c r="B61" s="14" t="s">
        <v>334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0</v>
      </c>
      <c r="E61" s="39" t="b">
        <f xml:space="preserve"> [Direct Tests] + [Indirect Tests] &gt; 0</f>
        <v>0</v>
      </c>
    </row>
    <row r="62" spans="1:5">
      <c r="A62" t="s">
        <v>31</v>
      </c>
      <c r="B62" t="s">
        <v>32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0</v>
      </c>
      <c r="E62" s="38" t="b">
        <f xml:space="preserve"> [Direct Tests] + [Indirect Tests] &gt; 0</f>
        <v>0</v>
      </c>
    </row>
    <row r="63" spans="1:5">
      <c r="A63" t="s">
        <v>31</v>
      </c>
      <c r="B63" t="s">
        <v>33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31</v>
      </c>
      <c r="B64" t="s">
        <v>34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0</v>
      </c>
      <c r="E64" s="38" t="b">
        <f xml:space="preserve"> [Direct Tests] + [Indirect Tests] &gt; 0</f>
        <v>0</v>
      </c>
    </row>
    <row r="65" spans="1:5">
      <c r="A65" t="s">
        <v>31</v>
      </c>
      <c r="B65" t="s">
        <v>35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31</v>
      </c>
      <c r="B66" t="s">
        <v>36</v>
      </c>
      <c r="C66" s="38">
        <f xml:space="preserve"> COUNTIFS(Tests!$A:$A,[Function], Tests!$C:$C,"Direct")</f>
        <v>0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0</v>
      </c>
    </row>
    <row r="67" spans="1:5">
      <c r="A67" t="s">
        <v>31</v>
      </c>
      <c r="B67" t="s">
        <v>37</v>
      </c>
      <c r="C67" s="38">
        <f xml:space="preserve"> COUNTIFS(Tests!$A:$A,[Function], Tests!$C:$C,"Direct")</f>
        <v>0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0</v>
      </c>
    </row>
    <row r="68" spans="1:5">
      <c r="A68" t="s">
        <v>38</v>
      </c>
      <c r="B68" t="s">
        <v>39</v>
      </c>
      <c r="C68" s="38">
        <f xml:space="preserve"> COUNTIFS(Tests!$A:$A,[Function], Tests!$C:$C,"Direct")</f>
        <v>0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0</v>
      </c>
    </row>
    <row r="69" spans="1:5">
      <c r="A69" t="s">
        <v>38</v>
      </c>
      <c r="B69" t="s">
        <v>40</v>
      </c>
      <c r="C69" s="38">
        <f xml:space="preserve"> COUNTIFS(Tests!$A:$A,[Function], Tests!$C:$C,"Direct")</f>
        <v>0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0</v>
      </c>
    </row>
    <row r="70" spans="1:5">
      <c r="A70" t="s">
        <v>38</v>
      </c>
      <c r="B70" t="s">
        <v>41</v>
      </c>
      <c r="C70" s="38">
        <f xml:space="preserve"> COUNTIFS(Tests!$A:$A,[Function], Tests!$C:$C,"Direct")</f>
        <v>0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0</v>
      </c>
    </row>
    <row r="71" spans="1:5">
      <c r="A71" s="14" t="s">
        <v>38</v>
      </c>
      <c r="B71" s="14" t="s">
        <v>42</v>
      </c>
      <c r="C71" s="39">
        <f xml:space="preserve"> COUNTIFS(Tests!$A:$A,[Function], Tests!$C:$C,"Direct")</f>
        <v>0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0</v>
      </c>
    </row>
    <row r="72" spans="1:5">
      <c r="A72" t="s">
        <v>25</v>
      </c>
      <c r="B72" t="s">
        <v>26</v>
      </c>
      <c r="C72" s="38">
        <f xml:space="preserve"> COUNTIFS(Tests!$A:$A,[Function], Tests!$C:$C,"Direct")</f>
        <v>1</v>
      </c>
      <c r="D72" s="38">
        <f xml:space="preserve"> COUNTIFS(Tests!$A:$A,[Function], Tests!$C:$C,"Indirect")</f>
        <v>0</v>
      </c>
      <c r="E72" s="38" t="b">
        <f xml:space="preserve"> [Direct Tests] + [Indirect Tests] &gt; 0</f>
        <v>1</v>
      </c>
    </row>
    <row r="73" spans="1:5">
      <c r="A73" t="s">
        <v>25</v>
      </c>
      <c r="B73" t="s">
        <v>27</v>
      </c>
      <c r="C73" s="38">
        <f xml:space="preserve"> COUNTIFS(Tests!$A:$A,[Function], Tests!$C:$C,"Direct")</f>
        <v>1</v>
      </c>
      <c r="D73" s="38">
        <f xml:space="preserve"> COUNTIFS(Tests!$A:$A,[Function], Tests!$C:$C,"Indirect")</f>
        <v>0</v>
      </c>
      <c r="E73" s="38" t="b">
        <f xml:space="preserve"> [Direct Tests] + [Indirect Tests] &gt; 0</f>
        <v>1</v>
      </c>
    </row>
    <row r="74" spans="1:5">
      <c r="A74" t="s">
        <v>25</v>
      </c>
      <c r="B74" t="s">
        <v>63</v>
      </c>
      <c r="C74" s="38">
        <f xml:space="preserve"> COUNTIFS(Tests!$A:$A,[Function], Tests!$C:$C,"Direct")</f>
        <v>2</v>
      </c>
      <c r="D74" s="38">
        <f xml:space="preserve"> COUNTIFS(Tests!$A:$A,[Function], Tests!$C:$C,"Indirect")</f>
        <v>0</v>
      </c>
      <c r="E74" s="38" t="b">
        <f xml:space="preserve"> [Direct Tests] + [Indirect Tests] &gt; 0</f>
        <v>1</v>
      </c>
    </row>
    <row r="75" spans="1:5">
      <c r="A75" t="s">
        <v>25</v>
      </c>
      <c r="B75" t="s">
        <v>30</v>
      </c>
      <c r="C75" s="38">
        <f xml:space="preserve"> COUNTIFS(Tests!$A:$A,[Function], Tests!$C:$C,"Direct")</f>
        <v>1</v>
      </c>
      <c r="D75" s="38">
        <f xml:space="preserve"> COUNTIFS(Tests!$A:$A,[Function], Tests!$C:$C,"Indirect")</f>
        <v>0</v>
      </c>
      <c r="E75" s="38" t="b">
        <f xml:space="preserve"> [Direct Tests] + [Indirect Tests] &gt; 0</f>
        <v>1</v>
      </c>
    </row>
    <row r="76" spans="1:5">
      <c r="A76" t="s">
        <v>25</v>
      </c>
      <c r="B76" t="s">
        <v>50</v>
      </c>
      <c r="C76" s="38">
        <f xml:space="preserve"> COUNTIFS(Tests!$A:$A,[Function], Tests!$C:$C,"Direct")</f>
        <v>1</v>
      </c>
      <c r="D76" s="38">
        <f xml:space="preserve"> COUNTIFS(Tests!$A:$A,[Function], Tests!$C:$C,"Indirect")</f>
        <v>0</v>
      </c>
      <c r="E76" s="38" t="b">
        <f xml:space="preserve"> [Direct Tests] + [Indirect Tests] &gt; 0</f>
        <v>1</v>
      </c>
    </row>
    <row r="77" spans="1:5">
      <c r="A77" s="14" t="s">
        <v>25</v>
      </c>
      <c r="B77" s="14" t="s">
        <v>51</v>
      </c>
      <c r="C77" s="39">
        <f xml:space="preserve"> COUNTIFS(Tests!$A:$A,[Function], Tests!$C:$C,"Direct")</f>
        <v>3</v>
      </c>
      <c r="D77" s="39">
        <f xml:space="preserve"> COUNTIFS(Tests!$A:$A,[Function], Tests!$C:$C,"Indirect")</f>
        <v>0</v>
      </c>
      <c r="E77" s="39" t="b">
        <f xml:space="preserve"> [Direct Tests] + [Indirect Tests] &gt; 0</f>
        <v>1</v>
      </c>
    </row>
    <row r="78" spans="1:5">
      <c r="A78" s="14" t="s">
        <v>25</v>
      </c>
      <c r="B78" s="14" t="s">
        <v>28</v>
      </c>
      <c r="C78" s="39">
        <f xml:space="preserve"> COUNTIFS(Tests!$A:$A,[Function], Tests!$C:$C,"Direct")</f>
        <v>1</v>
      </c>
      <c r="D78" s="39">
        <f xml:space="preserve"> COUNTIFS(Tests!$A:$A,[Function], Tests!$C:$C,"Indirect")</f>
        <v>0</v>
      </c>
      <c r="E78" s="39" t="b">
        <f xml:space="preserve"> [Direct Tests] + [Indirect Tests] &gt; 0</f>
        <v>1</v>
      </c>
    </row>
    <row r="79" spans="1:5">
      <c r="A79" s="14" t="s">
        <v>25</v>
      </c>
      <c r="B79" s="14" t="s">
        <v>29</v>
      </c>
      <c r="C79" s="39">
        <f xml:space="preserve"> COUNTIFS(Tests!$A:$A,[Function], Tests!$C:$C,"Direct")</f>
        <v>1</v>
      </c>
      <c r="D79" s="39">
        <f xml:space="preserve"> COUNTIFS(Tests!$A:$A,[Function], Tests!$C:$C,"Indirect")</f>
        <v>0</v>
      </c>
      <c r="E79" s="39" t="b">
        <f xml:space="preserve"> [Direct Tests] + [Indirect Tests] &gt; 0</f>
        <v>1</v>
      </c>
    </row>
    <row r="80" spans="1:5">
      <c r="A80" t="s">
        <v>25</v>
      </c>
      <c r="B80" t="s">
        <v>149</v>
      </c>
      <c r="C80" s="38">
        <f xml:space="preserve"> COUNTIFS(Tests!$A:$A,[Function], Tests!$C:$C,"Direct")</f>
        <v>1</v>
      </c>
      <c r="D80" s="38">
        <f xml:space="preserve"> COUNTIFS(Tests!$A:$A,[Function], Tests!$C:$C,"Indirect")</f>
        <v>0</v>
      </c>
      <c r="E80" s="38" t="b">
        <f xml:space="preserve"> [Direct Tests] + [Indirect Tests] &gt; 0</f>
        <v>1</v>
      </c>
    </row>
    <row r="81" spans="1:5">
      <c r="A81" t="s">
        <v>377</v>
      </c>
      <c r="B81" t="s">
        <v>378</v>
      </c>
      <c r="C81" s="38">
        <f xml:space="preserve"> COUNTIFS(Tests!$A:$A,[Function], Tests!$C:$C,"Direct")</f>
        <v>1</v>
      </c>
      <c r="D81" s="38">
        <f xml:space="preserve"> COUNTIFS(Tests!$A:$A,[Function], Tests!$C:$C,"Indirect")</f>
        <v>0</v>
      </c>
      <c r="E81" s="38" t="b">
        <f xml:space="preserve"> [Direct Tests] + [Indirect Tests] &gt; 0</f>
        <v>1</v>
      </c>
    </row>
    <row r="82" spans="1:5">
      <c r="A82" t="s">
        <v>377</v>
      </c>
      <c r="B82" t="s">
        <v>379</v>
      </c>
      <c r="C82" s="38">
        <f xml:space="preserve"> COUNTIFS(Tests!$A:$A,[Function], Tests!$C:$C,"Direct")</f>
        <v>1</v>
      </c>
      <c r="D82" s="38">
        <f xml:space="preserve"> COUNTIFS(Tests!$A:$A,[Function], Tests!$C:$C,"Indirect")</f>
        <v>0</v>
      </c>
      <c r="E82" s="38" t="b">
        <f xml:space="preserve"> [Direct Tests] + [Indirect Tests] &gt; 0</f>
        <v>1</v>
      </c>
    </row>
    <row r="83" spans="1:5">
      <c r="A83" t="s">
        <v>377</v>
      </c>
      <c r="B83" t="s">
        <v>380</v>
      </c>
      <c r="C83" s="38">
        <f xml:space="preserve"> COUNTIFS(Tests!$A:$A,[Function], Tests!$C:$C,"Direct")</f>
        <v>0</v>
      </c>
      <c r="D83" s="38">
        <f xml:space="preserve"> COUNTIFS(Tests!$A:$A,[Function], Tests!$C:$C,"Indirect")</f>
        <v>1</v>
      </c>
      <c r="E83" s="38" t="b">
        <f xml:space="preserve"> [Direct Tests] + [Indirect Tests] &gt; 0</f>
        <v>1</v>
      </c>
    </row>
    <row r="84" spans="1:5">
      <c r="A84" t="s">
        <v>377</v>
      </c>
      <c r="B84" t="s">
        <v>451</v>
      </c>
      <c r="C84" s="38">
        <f xml:space="preserve"> COUNTIFS(Tests!$A:$A,[Function], Tests!$C:$C,"Direct")</f>
        <v>1</v>
      </c>
      <c r="D84" s="38">
        <f xml:space="preserve"> COUNTIFS(Tests!$A:$A,[Function], Tests!$C:$C,"Indirect")</f>
        <v>0</v>
      </c>
      <c r="E84" s="38" t="b">
        <f xml:space="preserve"> [Direct Tests] + [Indirect Tests] &gt; 0</f>
        <v>1</v>
      </c>
    </row>
    <row r="85" spans="1:5">
      <c r="A85" t="s">
        <v>377</v>
      </c>
      <c r="B85" t="s">
        <v>452</v>
      </c>
      <c r="C85" s="38">
        <f xml:space="preserve"> COUNTIFS(Tests!$A:$A,[Function], Tests!$C:$C,"Direct")</f>
        <v>1</v>
      </c>
      <c r="D85" s="38">
        <f xml:space="preserve"> COUNTIFS(Tests!$A:$A,[Function], Tests!$C:$C,"Indirect")</f>
        <v>0</v>
      </c>
      <c r="E85" s="38" t="b">
        <f xml:space="preserve"> [Direct Tests] + [Indirect Tests] &gt; 0</f>
        <v>1</v>
      </c>
    </row>
    <row r="86" spans="1:5">
      <c r="A86" s="14" t="s">
        <v>377</v>
      </c>
      <c r="B86" s="14" t="s">
        <v>453</v>
      </c>
      <c r="C86" s="39">
        <f xml:space="preserve"> COUNTIFS(Tests!$A:$A,[Function], Tests!$C:$C,"Direct")</f>
        <v>0</v>
      </c>
      <c r="D86" s="39">
        <f xml:space="preserve"> COUNTIFS(Tests!$A:$A,[Function], Tests!$C:$C,"Indirect")</f>
        <v>1</v>
      </c>
      <c r="E86" s="39" t="b">
        <f xml:space="preserve"> [Direct Tests] + [Indirect Tests] &gt; 0</f>
        <v>1</v>
      </c>
    </row>
    <row r="87" spans="1:5">
      <c r="A87" s="14" t="s">
        <v>377</v>
      </c>
      <c r="B87" s="14" t="s">
        <v>381</v>
      </c>
      <c r="C87" s="39">
        <f xml:space="preserve"> COUNTIFS(Tests!$A:$A,[Function], Tests!$C:$C,"Direct")</f>
        <v>0</v>
      </c>
      <c r="D87" s="39">
        <f xml:space="preserve"> COUNTIFS(Tests!$A:$A,[Function], Tests!$C:$C,"Indirect")</f>
        <v>1</v>
      </c>
      <c r="E87" s="39" t="b">
        <f xml:space="preserve"> [Direct Tests] + [Indirect Tests] &gt; 0</f>
        <v>1</v>
      </c>
    </row>
    <row r="88" spans="1:5">
      <c r="A88" s="14" t="s">
        <v>377</v>
      </c>
      <c r="B88" s="14" t="s">
        <v>382</v>
      </c>
      <c r="C88" s="39">
        <f xml:space="preserve"> COUNTIFS(Tests!$A:$A,[Function], Tests!$C:$C,"Direct")</f>
        <v>1</v>
      </c>
      <c r="D88" s="39">
        <f xml:space="preserve"> COUNTIFS(Tests!$A:$A,[Function], Tests!$C:$C,"Indirect")</f>
        <v>0</v>
      </c>
      <c r="E88" s="39" t="b">
        <f xml:space="preserve"> [Direct Tests] + [Indirect Tests] &gt; 0</f>
        <v>1</v>
      </c>
    </row>
    <row r="89" spans="1:5">
      <c r="A89" s="14" t="s">
        <v>377</v>
      </c>
      <c r="B89" s="14" t="s">
        <v>435</v>
      </c>
      <c r="C89" s="39">
        <f xml:space="preserve"> COUNTIFS(Tests!$A:$A,[Function], Tests!$C:$C,"Direct")</f>
        <v>1</v>
      </c>
      <c r="D89" s="39">
        <f xml:space="preserve"> COUNTIFS(Tests!$A:$A,[Function], Tests!$C:$C,"Indirect")</f>
        <v>0</v>
      </c>
      <c r="E89" s="39" t="b">
        <f xml:space="preserve"> [Direct Tests] + [Indirect Tests] &gt; 0</f>
        <v>1</v>
      </c>
    </row>
    <row r="90" spans="1:5">
      <c r="A90" t="s">
        <v>377</v>
      </c>
      <c r="B90" t="s">
        <v>454</v>
      </c>
      <c r="C90" s="38">
        <f xml:space="preserve"> COUNTIFS(Tests!$A:$A,[Function], Tests!$C:$C,"Direct")</f>
        <v>1</v>
      </c>
      <c r="D90" s="38">
        <f xml:space="preserve"> COUNTIFS(Tests!$A:$A,[Function], Tests!$C:$C,"Indirect")</f>
        <v>0</v>
      </c>
      <c r="E90" s="38" t="b">
        <f xml:space="preserve"> [Direct Tests] + [Indirect Tests] &gt; 0</f>
        <v>1</v>
      </c>
    </row>
    <row r="91" spans="1:5">
      <c r="A91" t="s">
        <v>377</v>
      </c>
      <c r="B91" t="s">
        <v>383</v>
      </c>
      <c r="C91" s="38">
        <f xml:space="preserve"> COUNTIFS(Tests!$A:$A,[Function], Tests!$C:$C,"Direct")</f>
        <v>1</v>
      </c>
      <c r="D91" s="38">
        <f xml:space="preserve"> COUNTIFS(Tests!$A:$A,[Function], Tests!$C:$C,"Indirect")</f>
        <v>0</v>
      </c>
      <c r="E91" s="38" t="b">
        <f xml:space="preserve"> [Direct Tests] + [Indirect Tests] &gt; 0</f>
        <v>1</v>
      </c>
    </row>
    <row r="92" spans="1:5">
      <c r="A92" t="s">
        <v>377</v>
      </c>
      <c r="B92" t="s">
        <v>441</v>
      </c>
      <c r="C92" s="38">
        <f xml:space="preserve"> COUNTIFS(Tests!$A:$A,[Function], Tests!$C:$C,"Direct")</f>
        <v>1</v>
      </c>
      <c r="D92" s="38">
        <f xml:space="preserve"> COUNTIFS(Tests!$A:$A,[Function], Tests!$C:$C,"Indirect")</f>
        <v>0</v>
      </c>
      <c r="E92" s="38" t="b">
        <f xml:space="preserve"> [Direct Tests] + [Indirect Tests] &gt; 0</f>
        <v>1</v>
      </c>
    </row>
    <row r="93" spans="1:5">
      <c r="A93" s="14" t="s">
        <v>377</v>
      </c>
      <c r="B93" s="14" t="s">
        <v>450</v>
      </c>
      <c r="C93" s="39">
        <f xml:space="preserve"> COUNTIFS(Tests!$A:$A,[Function], Tests!$C:$C,"Direct")</f>
        <v>0</v>
      </c>
      <c r="D93" s="39">
        <f xml:space="preserve"> COUNTIFS(Tests!$A:$A,[Function], Tests!$C:$C,"Indirect")</f>
        <v>1</v>
      </c>
      <c r="E93" s="39" t="b">
        <f xml:space="preserve"> [Direct Tests] + [Indirect Tests] &gt; 0</f>
        <v>1</v>
      </c>
    </row>
    <row r="94" spans="1:5">
      <c r="A94" s="14" t="s">
        <v>377</v>
      </c>
      <c r="B94" s="14" t="s">
        <v>492</v>
      </c>
      <c r="C94" s="39">
        <f xml:space="preserve"> COUNTIFS(Tests!$A:$A,[Function], Tests!$C:$C,"Direct")</f>
        <v>1</v>
      </c>
      <c r="D94" s="39">
        <f xml:space="preserve"> COUNTIFS(Tests!$A:$A,[Function], Tests!$C:$C,"Indirect")</f>
        <v>0</v>
      </c>
      <c r="E94" s="39" t="b">
        <f xml:space="preserve"> [Direct Tests] + [Indirect Tests] &gt; 0</f>
        <v>1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_Links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_Charts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F4:L12"/>
  <sheetViews>
    <sheetView workbookViewId="0">
      <selection activeCell="F5" sqref="F5:I9"/>
    </sheetView>
  </sheetViews>
  <sheetFormatPr defaultRowHeight="15"/>
  <sheetData>
    <row r="4" spans="6:12">
      <c r="F4" t="s">
        <v>384</v>
      </c>
      <c r="G4" t="s">
        <v>385</v>
      </c>
      <c r="H4" t="s">
        <v>386</v>
      </c>
      <c r="I4" t="s">
        <v>387</v>
      </c>
    </row>
    <row r="5" spans="6:12">
      <c r="F5" s="14" t="s">
        <v>45</v>
      </c>
      <c r="G5" s="14" t="s">
        <v>54</v>
      </c>
      <c r="H5" s="14"/>
      <c r="I5" s="14">
        <v>1</v>
      </c>
      <c r="J5" t="s">
        <v>411</v>
      </c>
      <c r="L5" t="str">
        <f xml:space="preserve"> ":" &amp; F5 &amp; "/" &amp; G5 &amp; "/" &amp; H5 &amp; "/" &amp; I5 &amp; "/" &amp; J5</f>
        <v>:b/x//1/qrst</v>
      </c>
    </row>
    <row r="6" spans="6:12">
      <c r="F6" s="14" t="s">
        <v>44</v>
      </c>
      <c r="G6" s="14" t="s">
        <v>54</v>
      </c>
      <c r="H6" s="14"/>
      <c r="I6" s="14">
        <v>1</v>
      </c>
      <c r="J6" t="s">
        <v>412</v>
      </c>
      <c r="L6" t="str">
        <f t="shared" ref="L6:L10" si="0" xml:space="preserve"> ":" &amp; F6 &amp; "/" &amp; G6 &amp; "/" &amp; H6 &amp; "/" &amp; I6 &amp; "/" &amp; J6</f>
        <v>:a/x//1/uvwx</v>
      </c>
    </row>
    <row r="7" spans="6:12">
      <c r="F7" s="14" t="s">
        <v>44</v>
      </c>
      <c r="G7" s="14" t="s">
        <v>54</v>
      </c>
      <c r="H7" s="14"/>
      <c r="I7" s="14" t="s">
        <v>472</v>
      </c>
      <c r="J7" t="s">
        <v>413</v>
      </c>
      <c r="L7" t="str">
        <f t="shared" si="0"/>
        <v>:a/x//P/yzab</v>
      </c>
    </row>
    <row r="8" spans="6:12">
      <c r="F8" s="14" t="s">
        <v>45</v>
      </c>
      <c r="G8" s="14" t="s">
        <v>474</v>
      </c>
      <c r="H8" s="14"/>
      <c r="I8" s="14">
        <v>1</v>
      </c>
      <c r="J8" t="s">
        <v>414</v>
      </c>
      <c r="L8" t="str">
        <f t="shared" si="0"/>
        <v>:b/R//1/cdef</v>
      </c>
    </row>
    <row r="9" spans="6:12">
      <c r="F9" s="14" t="s">
        <v>473</v>
      </c>
      <c r="G9" s="14" t="s">
        <v>440</v>
      </c>
      <c r="H9" s="14"/>
      <c r="I9" s="14">
        <v>2</v>
      </c>
      <c r="J9" t="s">
        <v>415</v>
      </c>
      <c r="L9" t="str">
        <f t="shared" si="0"/>
        <v>:Q/y//2/ghij</v>
      </c>
    </row>
    <row r="10" spans="6:12">
      <c r="F10" s="14" t="s">
        <v>407</v>
      </c>
      <c r="G10" s="14" t="s">
        <v>408</v>
      </c>
      <c r="H10" s="14" t="s">
        <v>409</v>
      </c>
      <c r="I10" s="14" t="s">
        <v>410</v>
      </c>
      <c r="J10" t="s">
        <v>416</v>
      </c>
      <c r="L10" t="str">
        <f t="shared" si="0"/>
        <v>:abcd/efgh/ijkl/mnop/klmn</v>
      </c>
    </row>
    <row r="12" spans="6:12">
      <c r="L12" t="str">
        <f xml:space="preserve"> CONCATENATE(L5,L6,L7,L8,L9,L10)</f>
        <v>:b/x//1/qrst:a/x//1/uvwx:a/x//P/yzab:b/R//1/cdef:Q/y//2/ghij:abcd/efgh/ijkl/mnop/klmn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_Test_UsedRange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Tests</vt:lpstr>
      <vt:lpstr>Coverage</vt:lpstr>
      <vt:lpstr>Links</vt:lpstr>
      <vt:lpstr>Charts</vt:lpstr>
      <vt:lpstr>Tables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TblTest1_Col1</vt:lpstr>
      <vt:lpstr>TblTest1_Col2</vt:lpstr>
      <vt:lpstr>TblTest1_Col3</vt:lpstr>
      <vt:lpstr>TblTest1_Col4</vt:lpstr>
      <vt:lpstr>TblTest1_MaxExtent</vt:lpstr>
      <vt:lpstr>TblTest1AndSurroundingContents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2013-11-25T20:18:54Z</dcterms:modified>
</cp:coreProperties>
</file>